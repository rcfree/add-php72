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3"/>
  </bookViews>
  <sheets>
    <sheet name="Final" sheetId="1" state="visible" r:id="rId2"/>
    <sheet name="PR DATA" sheetId="2" state="visible" r:id="rId3"/>
    <sheet name="COPD" sheetId="3" state="visible" r:id="rId4"/>
    <sheet name="Sheet4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<sst xmlns="http://schemas.openxmlformats.org/spreadsheetml/2006/main" count="1659" uniqueCount="679">
  <si>
    <t>COPD DATABASE QUESTIONS</t>
  </si>
  <si>
    <t>VALID 6/12</t>
  </si>
  <si>
    <t>BASIC DEMOGRAPHICS</t>
  </si>
  <si>
    <t>employment_status</t>
  </si>
  <si>
    <t>radio_buttons</t>
  </si>
  <si>
    <t>EMPLOYMENT STATUS</t>
  </si>
  <si>
    <t>FULL TIME</t>
  </si>
  <si>
    <t>PART TIME</t>
  </si>
  <si>
    <t>RETIRED</t>
  </si>
  <si>
    <t>UNEMPLOYED</t>
  </si>
  <si>
    <t>LONG TERM SICKNESS</t>
  </si>
  <si>
    <t>OTHER</t>
  </si>
  <si>
    <t>social_circumstances</t>
  </si>
  <si>
    <t>SOCIAL CIRCUMSTANCES</t>
  </si>
  <si>
    <t>LIVES ALONE</t>
  </si>
  <si>
    <t>LIVES WITH SPOUSE/PARTNER</t>
  </si>
  <si>
    <t>LIVES WITH FAMILY</t>
  </si>
  <si>
    <t>web_literate</t>
  </si>
  <si>
    <t>yes_no</t>
  </si>
  <si>
    <t>WEB LITERATE</t>
  </si>
  <si>
    <t>YES</t>
  </si>
  <si>
    <t>NO</t>
  </si>
  <si>
    <t>SPIROMETRY</t>
  </si>
  <si>
    <t>conf_diag_spiro_lt5yrs</t>
  </si>
  <si>
    <t>CONFIRMED DIAGNOSIS WITH SPIROMETRY WITHIN &lt;5YEARS</t>
  </si>
  <si>
    <t>fev1l_pc</t>
  </si>
  <si>
    <t>FEV1 L%</t>
  </si>
  <si>
    <t>DATE</t>
  </si>
  <si>
    <t>VALUE</t>
  </si>
  <si>
    <t>fvcl_pc</t>
  </si>
  <si>
    <t>FVC L%</t>
  </si>
  <si>
    <t>fev1_fvc_pc</t>
  </si>
  <si>
    <t>FEV1/FVC %</t>
  </si>
  <si>
    <t>if_spirometry_available</t>
  </si>
  <si>
    <t>IF SPIROMETRY AVAILABLE - WHERE DOCUMENTED</t>
  </si>
  <si>
    <t>PRIMARY CARE</t>
  </si>
  <si>
    <t>COPD SN</t>
  </si>
  <si>
    <t>HOSPITAL DATABASE</t>
  </si>
  <si>
    <t>no_spirometry_documented</t>
  </si>
  <si>
    <t>[1=Pattern consistent with COPD,2=No pattern consistent with COPD]</t>
  </si>
  <si>
    <t>NO SPIROMETRY DOCUMENTED - IP SPIROMETRY (APS) </t>
  </si>
  <si>
    <t>PATTERN CONSISTENT WITH COPD</t>
  </si>
  <si>
    <t>NO PATTERN CONSISTENT WITH COPD</t>
  </si>
  <si>
    <t>NORMAL RESULT</t>
  </si>
  <si>
    <t>fev1_l%</t>
  </si>
  <si>
    <t>fvc_l%</t>
  </si>
  <si>
    <t>fev1/fvc_%</t>
  </si>
  <si>
    <t>follow_up_spiro_req</t>
  </si>
  <si>
    <t>FOLLOW UP SPIROMETRY REQUIRED</t>
  </si>
  <si>
    <t>GENERAL ADMISSION</t>
  </si>
  <si>
    <t>hospital_admitted_to</t>
  </si>
  <si>
    <t>[1=GH,2=LRI]</t>
  </si>
  <si>
    <t>HOSPITAL ADMITTED TO </t>
  </si>
  <si>
    <t>GH</t>
  </si>
  <si>
    <t>LRI</t>
  </si>
  <si>
    <t>admitted_from</t>
  </si>
  <si>
    <t>ADMITTED FROM</t>
  </si>
  <si>
    <t>HOME</t>
  </si>
  <si>
    <t>OP CLINIC</t>
  </si>
  <si>
    <t>LGH</t>
  </si>
  <si>
    <t>ED</t>
  </si>
  <si>
    <t>CDU</t>
  </si>
  <si>
    <t>OOC</t>
  </si>
  <si>
    <t>NURSING HOME</t>
  </si>
  <si>
    <t>RESIDENTIAL HOME</t>
  </si>
  <si>
    <t>LOROS</t>
  </si>
  <si>
    <t>PSYCHIATRIC UNIT</t>
  </si>
  <si>
    <t>date_of_admission</t>
  </si>
  <si>
    <t>date</t>
  </si>
  <si>
    <t>DATE OF ADMISSION</t>
  </si>
  <si>
    <t>ward_admitted_to</t>
  </si>
  <si>
    <t>dropdown</t>
  </si>
  <si>
    <t>WARD ADMITTED TO</t>
  </si>
  <si>
    <t>CCU</t>
  </si>
  <si>
    <t>23A</t>
  </si>
  <si>
    <t>27A</t>
  </si>
  <si>
    <t>33A</t>
  </si>
  <si>
    <t>reviewed_by_copd_team</t>
  </si>
  <si>
    <t>[Y=Yes,N=No,M=Missed]</t>
  </si>
  <si>
    <t>REVIEWED BY COPD TEAM</t>
  </si>
  <si>
    <t>MISSED</t>
  </si>
  <si>
    <t>date_seen</t>
  </si>
  <si>
    <t>DATE SEEN</t>
  </si>
  <si>
    <t>diagnosis</t>
  </si>
  <si>
    <t>DIAGNOSIS</t>
  </si>
  <si>
    <t>NON INFECTIVE EXAC (NIE COPD) </t>
  </si>
  <si>
    <t>INFECTIVE EXAC (NI COPD) </t>
  </si>
  <si>
    <t>inhaled_medication</t>
  </si>
  <si>
    <t>checkboxes</t>
  </si>
  <si>
    <t>INHALED MEDICATION</t>
  </si>
  <si>
    <t>SABA</t>
  </si>
  <si>
    <t>SAMA</t>
  </si>
  <si>
    <t>LABA</t>
  </si>
  <si>
    <t>LAMA</t>
  </si>
  <si>
    <t>ICS/LABA</t>
  </si>
  <si>
    <t>LAMA/LABA</t>
  </si>
  <si>
    <t>ICS</t>
  </si>
  <si>
    <t>TRIPLE THERAPY</t>
  </si>
  <si>
    <t>SIGNIFICANT COMORBIDITIES</t>
  </si>
  <si>
    <t>comorb_vascular</t>
  </si>
  <si>
    <t>VASCULAR</t>
  </si>
  <si>
    <t>PVD</t>
  </si>
  <si>
    <t>TIA</t>
  </si>
  <si>
    <t>CVA</t>
  </si>
  <si>
    <t>CKD</t>
  </si>
  <si>
    <t>HTN</t>
  </si>
  <si>
    <t>AAA</t>
  </si>
  <si>
    <t>AAA SIZE</t>
  </si>
  <si>
    <t>comorb_metabolic</t>
  </si>
  <si>
    <t>METABOLIC</t>
  </si>
  <si>
    <t>DM 1</t>
  </si>
  <si>
    <t>DM 2</t>
  </si>
  <si>
    <t>OBESITY</t>
  </si>
  <si>
    <t>HYPERCHOL</t>
  </si>
  <si>
    <t>CACHEXIA</t>
  </si>
  <si>
    <t>LIVER</t>
  </si>
  <si>
    <t>ADDISONS</t>
  </si>
  <si>
    <t>comorb_musculoskeletal</t>
  </si>
  <si>
    <t>MUSCULO-SKELETAL</t>
  </si>
  <si>
    <t>O/A</t>
  </si>
  <si>
    <t>R/A</t>
  </si>
  <si>
    <t>A/S</t>
  </si>
  <si>
    <t>OSTEOPOROSIS</t>
  </si>
  <si>
    <t>CFS</t>
  </si>
  <si>
    <t>FIBROMYALGIA</t>
  </si>
  <si>
    <t>LBP</t>
  </si>
  <si>
    <t>comorb_cardiac</t>
  </si>
  <si>
    <t>CARDIAC</t>
  </si>
  <si>
    <t>MVD</t>
  </si>
  <si>
    <t>MVR</t>
  </si>
  <si>
    <t>MI</t>
  </si>
  <si>
    <t>AVD</t>
  </si>
  <si>
    <t>AVR</t>
  </si>
  <si>
    <t>CARDIOMYOPATHY</t>
  </si>
  <si>
    <t>CARDIAC ARREST</t>
  </si>
  <si>
    <t>CONGENITAL</t>
  </si>
  <si>
    <t>PULM HTN</t>
  </si>
  <si>
    <t>UNSTABLE ANGINA</t>
  </si>
  <si>
    <t>AF</t>
  </si>
  <si>
    <t>HEART FAILURE</t>
  </si>
  <si>
    <t>CHD</t>
  </si>
  <si>
    <t>AS</t>
  </si>
  <si>
    <t>comorb_neurological</t>
  </si>
  <si>
    <t>NEUROLOGICAL</t>
  </si>
  <si>
    <t>MS</t>
  </si>
  <si>
    <t>PARKINSONS</t>
  </si>
  <si>
    <t>EPILEPSY</t>
  </si>
  <si>
    <t>HF NHYA - 1-4</t>
  </si>
  <si>
    <t>comorb_infdis</t>
  </si>
  <si>
    <t>INFECTIOUS DISEASES</t>
  </si>
  <si>
    <t>TB</t>
  </si>
  <si>
    <t>HIV</t>
  </si>
  <si>
    <t>HEPATITIS</t>
  </si>
  <si>
    <t>MCAT</t>
  </si>
  <si>
    <t>comorb_gi</t>
  </si>
  <si>
    <t>GASTRO INTESTINAL</t>
  </si>
  <si>
    <t>REFLUX</t>
  </si>
  <si>
    <t>DIVERTICULITIS</t>
  </si>
  <si>
    <t>CHRONS</t>
  </si>
  <si>
    <t>HIATUS HERNIA</t>
  </si>
  <si>
    <t>ULCERATIVE COLITIS</t>
  </si>
  <si>
    <t>comorb_cancer</t>
  </si>
  <si>
    <t>CANCERS</t>
  </si>
  <si>
    <t>comorb_psychiatric</t>
  </si>
  <si>
    <t>PSYCHIATRIC</t>
  </si>
  <si>
    <t>ANXIETY</t>
  </si>
  <si>
    <t>DEPRESSION</t>
  </si>
  <si>
    <t>BI-POLAR</t>
  </si>
  <si>
    <t>PERSONALITY DISORDER</t>
  </si>
  <si>
    <t>DEMENTIA/ALZHEIMER</t>
  </si>
  <si>
    <t>COPD REVIEW</t>
  </si>
  <si>
    <t>times_reviewed_by_copd_nurse</t>
  </si>
  <si>
    <t>number</t>
  </si>
  <si>
    <t>HOW MANY TIMES PT REVIEWED BY COPD NURSE (IP)</t>
  </si>
  <si>
    <t>name_of_nurse_ahp_aps</t>
  </si>
  <si>
    <t>NAME OF NURSE/AHP/APS</t>
  </si>
  <si>
    <t>LISA CLINCH</t>
  </si>
  <si>
    <t>CLAIRE CHEBBOUT</t>
  </si>
  <si>
    <t>NICOLE TOMS</t>
  </si>
  <si>
    <t>EMMA VINCENT</t>
  </si>
  <si>
    <t>JULIE JAMIESON</t>
  </si>
  <si>
    <t>CHRISSIE MITCHELL-ISSETT</t>
  </si>
  <si>
    <t>TOR WILLOTT</t>
  </si>
  <si>
    <t>DECLAN TOMLIN</t>
  </si>
  <si>
    <t>ZACK HAWKSLEY</t>
  </si>
  <si>
    <t>LOUISE IRVINE</t>
  </si>
  <si>
    <t>EMMA CHAPLIN</t>
  </si>
  <si>
    <t>SARAH WARD</t>
  </si>
  <si>
    <t>OLIVIA REVITT</t>
  </si>
  <si>
    <t>JAKUB ZATLOUKAL</t>
  </si>
  <si>
    <t>EMILY MULLEN</t>
  </si>
  <si>
    <t>SABRINA LOHAR</t>
  </si>
  <si>
    <t>number_adms_lt_12m_30a</t>
  </si>
  <si>
    <t>NUMBER OF ADMISSIONS IN LAST 12 MONTHS (RESP 30A)</t>
  </si>
  <si>
    <t>number_adms_lt_12m_other</t>
  </si>
  <si>
    <t>NUMBER OF ADMISSIONS IN LAST 12 MONTHS (OTHER)</t>
  </si>
  <si>
    <t>number_copd_bundle_completed_lt_12m</t>
  </si>
  <si>
    <t>NUMBER OF TIMES COPD BUNDLE COMPLETED IN LAST 12 MONTHS</t>
  </si>
  <si>
    <t>number_exacerbations_lt12m</t>
  </si>
  <si>
    <t>NUMBER OF EXACERBATIONS IN LAST 12 MONTHS</t>
  </si>
  <si>
    <t>mrc_score</t>
  </si>
  <si>
    <t>MRC SCORE (1-5)</t>
  </si>
  <si>
    <t>frailty_score</t>
  </si>
  <si>
    <t>FRAILTY SCORE (5STS time)</t>
  </si>
  <si>
    <t>sputum_colour</t>
  </si>
  <si>
    <t>SPUTUM COLOUR</t>
  </si>
  <si>
    <t>WHITE</t>
  </si>
  <si>
    <t>YELLOW</t>
  </si>
  <si>
    <t>GREEN</t>
  </si>
  <si>
    <t>COPD BUNDLE</t>
  </si>
  <si>
    <t>priority_card_given</t>
  </si>
  <si>
    <t>[Y=Yes,N=No,P=Pre-issued,U=Not applicable]</t>
  </si>
  <si>
    <t>PRIORITY CARD GIVEN</t>
  </si>
  <si>
    <t>PRE-ISSUED</t>
  </si>
  <si>
    <t>NOT APPLICABLE</t>
  </si>
  <si>
    <t>patient_on_care_bundle_pathway</t>
  </si>
  <si>
    <t>[Y=Yes,N=No,M=Missed,P=Pre-issued]</t>
  </si>
  <si>
    <t>PATIENT ON CARE BUNDLE PATHWAY</t>
  </si>
  <si>
    <t>smoking_status</t>
  </si>
  <si>
    <t>SMOKING STATUS</t>
  </si>
  <si>
    <t>NEVER SMOKED</t>
  </si>
  <si>
    <t>EX SMOKER</t>
  </si>
  <si>
    <t>CURRENT SMOKER</t>
  </si>
  <si>
    <t>smoking_pack_years</t>
  </si>
  <si>
    <t>SMOKING PACK YEARS</t>
  </si>
  <si>
    <t>?CALCULATION BUILT IN?</t>
  </si>
  <si>
    <t>offered_smoking_cessation</t>
  </si>
  <si>
    <t>[Y=Yes,N=No,D=Declined]</t>
  </si>
  <si>
    <t>OFFERED SMOKING CESSATION</t>
  </si>
  <si>
    <t>DECLINED</t>
  </si>
  <si>
    <t>N/A</t>
  </si>
  <si>
    <t>if_declined_referral</t>
  </si>
  <si>
    <t>IF DECLINED REFERRAL</t>
  </si>
  <si>
    <t>PATIENT NOT INTERESTED/REFUSED</t>
  </si>
  <si>
    <t>ALREADY USED SERVICE</t>
  </si>
  <si>
    <t>ATTENDING LOCAL PHARMACY/G.P</t>
  </si>
  <si>
    <t>TOO FAR TO TRAVEL</t>
  </si>
  <si>
    <t>nrt_prescribed</t>
  </si>
  <si>
    <t>[Y=Yes,N=No,X=N/A]</t>
  </si>
  <si>
    <t>NRT PRESCRIBED</t>
  </si>
  <si>
    <t>referred_to_pulmonary_rehabilitation</t>
  </si>
  <si>
    <t>[Y=Yes,N=No,X=Not appropriate]</t>
  </si>
  <si>
    <t>REFERRED TO PULMONARY REHABILITATION</t>
  </si>
  <si>
    <t>NOT APPROPRIATE </t>
  </si>
  <si>
    <t>declined_pr_ref_as_ip</t>
  </si>
  <si>
    <t>DECLINED PR REF (AS IP)</t>
  </si>
  <si>
    <t>COMPLETED</t>
  </si>
  <si>
    <t>TRANSPORT</t>
  </si>
  <si>
    <t>FT CARER</t>
  </si>
  <si>
    <t>PHYSICAL INCAPACITY</t>
  </si>
  <si>
    <t>MENTAL INCAPACITY</t>
  </si>
  <si>
    <t>ALREADY ENROLLED ON PR</t>
  </si>
  <si>
    <t>HAPPY TO SELF MANAGE</t>
  </si>
  <si>
    <t>inhaler_technique_demonstrated</t>
  </si>
  <si>
    <t>INHALER TECHNIQUE DEMONSTRATED</t>
  </si>
  <si>
    <t>technique_understanding</t>
  </si>
  <si>
    <t>IF YES….UNDERSTOOD?</t>
  </si>
  <si>
    <t>GOOD TECHNIQUE</t>
  </si>
  <si>
    <t>POOR TECHNIQUE</t>
  </si>
  <si>
    <t>NEEDED DIRECTION</t>
  </si>
  <si>
    <t>INHALER REGIME CHANGED</t>
  </si>
  <si>
    <t>HALERAID SUPPLIED</t>
  </si>
  <si>
    <t>self_management_plan</t>
  </si>
  <si>
    <t>SELF MANAGEMENT PLAN</t>
  </si>
  <si>
    <t>blf_passport_given</t>
  </si>
  <si>
    <t>BLF PASSPORT GIVEN</t>
  </si>
  <si>
    <t>date_of_discharge</t>
  </si>
  <si>
    <t>DATE OF DISCHARGE</t>
  </si>
  <si>
    <t>discharge_ward</t>
  </si>
  <si>
    <t>DISCHARGE WARD</t>
  </si>
  <si>
    <t>discharged_to</t>
  </si>
  <si>
    <t>DISCHARGED TO</t>
  </si>
  <si>
    <t>OTHER HOSPITAL</t>
  </si>
  <si>
    <t>SELF DISCHARGED</t>
  </si>
  <si>
    <t>DIED</t>
  </si>
  <si>
    <t>discharged_under_care_of:</t>
  </si>
  <si>
    <t>DISCHARGED UNDER CARE OF:</t>
  </si>
  <si>
    <t>consultant</t>
  </si>
  <si>
    <t>outpatient_follow_up_with_copd_nurse</t>
  </si>
  <si>
    <t>OUTPATIENT FOLLOW UP WITH COPD NURSE</t>
  </si>
  <si>
    <t>if_op_declined</t>
  </si>
  <si>
    <t>IF OP DECLINED</t>
  </si>
  <si>
    <t>ONGOING INVESTIGATION</t>
  </si>
  <si>
    <t>NO TRANSPORT</t>
  </si>
  <si>
    <t>TOO ILL</t>
  </si>
  <si>
    <t>outcomes</t>
  </si>
  <si>
    <t>OUTCOMES</t>
  </si>
  <si>
    <t>DISCHARGED TO GP</t>
  </si>
  <si>
    <t>ADMITTED FROM CLINIC</t>
  </si>
  <si>
    <t>DISCH/TRANSFERRED TO OTHER HOSPITAL</t>
  </si>
  <si>
    <t>READMITTED TO ANOTHER HOSPITAL</t>
  </si>
  <si>
    <t>RE-ADMITTED WITH A RESPIRATORY PROBLEM</t>
  </si>
  <si>
    <t>discharge_diagnosis</t>
  </si>
  <si>
    <t>DISCHARGE DIAGNOSIS</t>
  </si>
  <si>
    <t>?code</t>
  </si>
  <si>
    <t>NIV</t>
  </si>
  <si>
    <t>non-invasive_ventilation_(niv)_on_this_admission</t>
  </si>
  <si>
    <t>NON-INVASIVE VENTILATION (NIV) ON THIS ADMISSION</t>
  </si>
  <si>
    <t>discharged_with_niv</t>
  </si>
  <si>
    <t>DISCHARGED WITH NIV</t>
  </si>
  <si>
    <t>niv_used_at_home?</t>
  </si>
  <si>
    <t>NIV USED AT HOME?</t>
  </si>
  <si>
    <t>niv_used_long_term</t>
  </si>
  <si>
    <t>NIV USED LONG TERM</t>
  </si>
  <si>
    <t>GENERAL QUESTIONS</t>
  </si>
  <si>
    <t>reasons_for_re-admission</t>
  </si>
  <si>
    <t>REASONS FOR RE-ADMISSION</t>
  </si>
  <si>
    <t>SOCIAL REASONS</t>
  </si>
  <si>
    <t>EXACERBATION NOT RESOLVED</t>
  </si>
  <si>
    <t>OTHER -NOT COPD</t>
  </si>
  <si>
    <t>falls_in_the_last_12_months</t>
  </si>
  <si>
    <t>FALLS IN THE LAST 12 MONTHS</t>
  </si>
  <si>
    <t>HOW MANY</t>
  </si>
  <si>
    <t>alcohol_consumption</t>
  </si>
  <si>
    <t>[1=&lt;14 units,2=&gt;14 units]</t>
  </si>
  <si>
    <t>ALCOHOL CONSUMPTION</t>
  </si>
  <si>
    <t>&lt; 14 UNITS</t>
  </si>
  <si>
    <t>&gt; 14 UNITS</t>
  </si>
  <si>
    <t>height</t>
  </si>
  <si>
    <t>HEIGHT</t>
  </si>
  <si>
    <t>cm</t>
  </si>
  <si>
    <t>weight</t>
  </si>
  <si>
    <t>WEIGHT</t>
  </si>
  <si>
    <t>kg</t>
  </si>
  <si>
    <t>bmi</t>
  </si>
  <si>
    <t>BMI</t>
  </si>
  <si>
    <t>calculated </t>
  </si>
  <si>
    <t>follow_up_consultant</t>
  </si>
  <si>
    <t>FOLLOW UP CONSULTANT</t>
  </si>
  <si>
    <t>number_of_calls_</t>
  </si>
  <si>
    <t>NUMBER OF CALLS </t>
  </si>
  <si>
    <t>decaf_score</t>
  </si>
  <si>
    <t>DECAF SCORE</t>
  </si>
  <si>
    <t>presenting_problems</t>
  </si>
  <si>
    <t>PRESENTING PROBLEMS</t>
  </si>
  <si>
    <t>COUGH</t>
  </si>
  <si>
    <t>FATIGUE</t>
  </si>
  <si>
    <t>MUSCLE WEAKNESS</t>
  </si>
  <si>
    <t>PAIN</t>
  </si>
  <si>
    <t>FEAR/PANIC</t>
  </si>
  <si>
    <t>SHORTNESS OF BREATH</t>
  </si>
  <si>
    <t>SPUTUM RETENTION</t>
  </si>
  <si>
    <t>REDUCED EXERCISE TOLERANCE</t>
  </si>
  <si>
    <t>LOW MOOD</t>
  </si>
  <si>
    <t>BLOOD RESULTS</t>
  </si>
  <si>
    <t>eosinophils</t>
  </si>
  <si>
    <t>EOSINOPHILS</t>
  </si>
  <si>
    <t>neutrophils</t>
  </si>
  <si>
    <t>NEUTROPHILS</t>
  </si>
  <si>
    <t>wcc</t>
  </si>
  <si>
    <t>WCC</t>
  </si>
  <si>
    <t>crp</t>
  </si>
  <si>
    <t>CRP</t>
  </si>
  <si>
    <t>o2_sat_%</t>
  </si>
  <si>
    <t>O2 SAT %</t>
  </si>
  <si>
    <t>o2_user</t>
  </si>
  <si>
    <t>O2 USER</t>
  </si>
  <si>
    <t>LTOT</t>
  </si>
  <si>
    <t>AMBULATORY</t>
  </si>
  <si>
    <t>REGULAR USER</t>
  </si>
  <si>
    <t>exercise_behaviour</t>
  </si>
  <si>
    <t>EXERCISE BEHAVIOUR</t>
  </si>
  <si>
    <t>NO PREVIOUS EXERCISE EXPERIENCE</t>
  </si>
  <si>
    <t>CURRENTLY UNDERTAKES EXERCISE</t>
  </si>
  <si>
    <t>EXERCISED PREVIOUSLY BUT NOT RECENTLY</t>
  </si>
  <si>
    <t>PREVIOUSLY DONE PR</t>
  </si>
  <si>
    <t>do_you_exercise_for_10_minute_bouts_x5_week</t>
  </si>
  <si>
    <t>DO YOU EXERCISE FOR 10 MINUTE BOUTS X5 WEEK</t>
  </si>
  <si>
    <t>DISCHARGE</t>
  </si>
  <si>
    <t>rescue_pack</t>
  </si>
  <si>
    <t>RESCUE PACK</t>
  </si>
  <si>
    <t>rescue_bag</t>
  </si>
  <si>
    <t>RESCUE BAG</t>
  </si>
  <si>
    <t>early_discharge</t>
  </si>
  <si>
    <t>EARLY DISCHARGE</t>
  </si>
  <si>
    <t>supported_discharge</t>
  </si>
  <si>
    <t>SUPPORTED DISCHARGE</t>
  </si>
  <si>
    <t>admission_avoidance</t>
  </si>
  <si>
    <t>ADMISSION AVOIDANCE</t>
  </si>
  <si>
    <t>LIAISE WITH G.P</t>
  </si>
  <si>
    <t>MEDICATION ADVICE</t>
  </si>
  <si>
    <t>MANAGEMENT OF BREATHLESSNESS</t>
  </si>
  <si>
    <t>name_of_nurse/ahp_phone_call_</t>
  </si>
  <si>
    <t>NAME OF NURSE/AHP PHONE CALL </t>
  </si>
  <si>
    <t>outcome_of_follow_up_phone_call</t>
  </si>
  <si>
    <t>OUTCOME OF FOLLOW UP PHONE CALL</t>
  </si>
  <si>
    <t>PROCEED TO PR REFERRAL</t>
  </si>
  <si>
    <t>DECLINED OFFER</t>
  </si>
  <si>
    <t>reason_for_declining_pr_referral_</t>
  </si>
  <si>
    <t>REASON FOR DECLINING PR REFERRAL </t>
  </si>
  <si>
    <t>NOT SUITABLE/TOO ILL</t>
  </si>
  <si>
    <t>TRAVEL</t>
  </si>
  <si>
    <t>RETURNED TO WORK</t>
  </si>
  <si>
    <t>UNABLE TO CONTACT - LETTER SENT</t>
  </si>
  <si>
    <t>DECEASED</t>
  </si>
  <si>
    <t>length_of_follow_up_phone_call</t>
  </si>
  <si>
    <t>LENGTH OF FOLLOW UP PHONE CALL</t>
  </si>
  <si>
    <t>number_of_phone_calls_to_patients</t>
  </si>
  <si>
    <t>NUMBER OF PHONE CALLS TO PATIENTS</t>
  </si>
  <si>
    <t>number_of_phone_calls_to_gp</t>
  </si>
  <si>
    <t>NUMBER OF PHONE CALLS TO GP</t>
  </si>
  <si>
    <t>onward_referrals</t>
  </si>
  <si>
    <t>ONWARD REFERRALS</t>
  </si>
  <si>
    <t>PULMONARY REHAB</t>
  </si>
  <si>
    <t>DIETETICS</t>
  </si>
  <si>
    <t>SOCIAL SERVICES</t>
  </si>
  <si>
    <t>DISTRICT NURSES</t>
  </si>
  <si>
    <t>RESP PHYSIOLOGY</t>
  </si>
  <si>
    <t>LTC</t>
  </si>
  <si>
    <t>PSYCHOLOGY</t>
  </si>
  <si>
    <t>MISSED/PRIORITY PATIENTS</t>
  </si>
  <si>
    <t>1_day_phone_call</t>
  </si>
  <si>
    <t>1 DAY PHONE CALL</t>
  </si>
  <si>
    <t>length_of__call</t>
  </si>
  <si>
    <t>LENGTH OF  CALL</t>
  </si>
  <si>
    <t>TIME</t>
  </si>
  <si>
    <t>attempts</t>
  </si>
  <si>
    <t>ATTEMPTS</t>
  </si>
  <si>
    <t>nurse</t>
  </si>
  <si>
    <t>NURSE</t>
  </si>
  <si>
    <t>5 DAY PHONE CALL</t>
  </si>
  <si>
    <t>5_day_phone_call</t>
  </si>
  <si>
    <t>length_of_5_day_call</t>
  </si>
  <si>
    <t>LENGTH OF 5 DAY CALL</t>
  </si>
  <si>
    <t>outcome</t>
  </si>
  <si>
    <t>OUTCOME</t>
  </si>
  <si>
    <t>DISCHARGED</t>
  </si>
  <si>
    <t>REQUEST G.P VISIT/INPUT</t>
  </si>
  <si>
    <t>hospital_anxiety_and_depression_scores</t>
  </si>
  <si>
    <t>HOSPITAL ANXIETY AND DEPRESSION SCORES</t>
  </si>
  <si>
    <t>ANXIETY =</t>
  </si>
  <si>
    <t>DEPRESSION=</t>
  </si>
  <si>
    <t>cat_score_(0-35)</t>
  </si>
  <si>
    <t>CAT SCORE (0-35)</t>
  </si>
  <si>
    <t>permission_to_use_clinical_audit</t>
  </si>
  <si>
    <t>PERMISSION TO USE CLINICAL AUDIT</t>
  </si>
  <si>
    <t>PULMONARY REHABILITATION DATABASE QUESTIONS</t>
  </si>
  <si>
    <t>REFERRAL DATE</t>
  </si>
  <si>
    <t>REFERRAL BY:</t>
  </si>
  <si>
    <t>PATHWAY</t>
  </si>
  <si>
    <t>ELECTIVE</t>
  </si>
  <si>
    <t>POST EXAC</t>
  </si>
  <si>
    <t>MAIN DIAGNOSIS</t>
  </si>
  <si>
    <t>CONCURRENT DIAGNOSIS</t>
  </si>
  <si>
    <t>COMMENTS</t>
  </si>
  <si>
    <t>CONSULTANT</t>
  </si>
  <si>
    <t>EDUCATION LEVEL</t>
  </si>
  <si>
    <t>OCCUPATION TYPE/JOB</t>
  </si>
  <si>
    <t>REQUIRES TRANSPORT</t>
  </si>
  <si>
    <t>MRSA STATUS</t>
  </si>
  <si>
    <t>INHALER TECHNIQUE CHECKED</t>
  </si>
  <si>
    <t>CONSENT GAINED</t>
  </si>
  <si>
    <t>DATE OF PR ASSESSMENT</t>
  </si>
  <si>
    <t>FAT FREE MASS</t>
  </si>
  <si>
    <t>LUNG FUNCTION DONE</t>
  </si>
  <si>
    <t>HOME 02 USE</t>
  </si>
  <si>
    <t>TYPE OF 02</t>
  </si>
  <si>
    <t>SBOT</t>
  </si>
  <si>
    <t>LTOT FLOW RATE</t>
  </si>
  <si>
    <t>L/MIN</t>
  </si>
  <si>
    <t>02 DELIVERY</t>
  </si>
  <si>
    <t>CONCENTRATOR</t>
  </si>
  <si>
    <t>CYLINDERS</t>
  </si>
  <si>
    <t>LIQUID</t>
  </si>
  <si>
    <t>NON SMOKER</t>
  </si>
  <si>
    <t>PASSIVE</t>
  </si>
  <si>
    <t>ALCOHOL INTAKE</t>
  </si>
  <si>
    <t>UNITS/WEEK</t>
  </si>
  <si>
    <t>EMPLOYMENT </t>
  </si>
  <si>
    <t>OCCUPATION</t>
  </si>
  <si>
    <t>ACCOMODATION</t>
  </si>
  <si>
    <t>HOUSE</t>
  </si>
  <si>
    <t>FLAT</t>
  </si>
  <si>
    <t>BUNGALOW</t>
  </si>
  <si>
    <t>MAISONETTE</t>
  </si>
  <si>
    <t>NURSING/RESIDENTIAL HOME</t>
  </si>
  <si>
    <t>OTHERS IN HOUSEHOLD</t>
  </si>
  <si>
    <t>SPOUSE</t>
  </si>
  <si>
    <t>PARTNER</t>
  </si>
  <si>
    <t>CHILDREN</t>
  </si>
  <si>
    <t>ALONE</t>
  </si>
  <si>
    <t>PROBLEMS</t>
  </si>
  <si>
    <t>PROBLEM ACTIVITIES</t>
  </si>
  <si>
    <t>WALKING </t>
  </si>
  <si>
    <t>WALKING UPHILL</t>
  </si>
  <si>
    <t>GARDENING</t>
  </si>
  <si>
    <t>BENDING</t>
  </si>
  <si>
    <t>CLIMBING STAIRS</t>
  </si>
  <si>
    <t>WASHING &amp; DRESSING</t>
  </si>
  <si>
    <t>DRYING AFTER BATH/SHOWER</t>
  </si>
  <si>
    <t>DIY</t>
  </si>
  <si>
    <t>CARRYING SHOPPING </t>
  </si>
  <si>
    <t>VACUUMMING</t>
  </si>
  <si>
    <t>IN/OUT BATH OR SHOWER</t>
  </si>
  <si>
    <t>PREVIOUS EXERCISE BEHAVIOUR</t>
  </si>
  <si>
    <t>CURRENTLY EXERCISES</t>
  </si>
  <si>
    <t>EXERCISED PREVIOUSLY BUT NOT CURRENTLY</t>
  </si>
  <si>
    <t>EXERCISE (PRE &amp; POST)</t>
  </si>
  <si>
    <t>ISWT PRE &amp; POST</t>
  </si>
  <si>
    <t>ESWT PRE &amp; POST</t>
  </si>
  <si>
    <t>QUALITY OF LIFE QUESTIONNAIRES</t>
  </si>
  <si>
    <t>REFERRAL OUTCOMES</t>
  </si>
  <si>
    <t>WILL THE DEMOGRAPHIC INFO BE PULLED FROM HISS??</t>
  </si>
  <si>
    <t>Q1</t>
  </si>
  <si>
    <t>NHS NUMBER</t>
  </si>
  <si>
    <t>Q2</t>
  </si>
  <si>
    <t>HOSPITAL NUMBER</t>
  </si>
  <si>
    <t>Q3</t>
  </si>
  <si>
    <t>SURNAME</t>
  </si>
  <si>
    <t>Q4</t>
  </si>
  <si>
    <t>FIRST NAME</t>
  </si>
  <si>
    <t>Q5</t>
  </si>
  <si>
    <t>ADDRESS</t>
  </si>
  <si>
    <t>Q6</t>
  </si>
  <si>
    <t>POSTCODE</t>
  </si>
  <si>
    <t>Q7</t>
  </si>
  <si>
    <t>HOME TELEPHNE</t>
  </si>
  <si>
    <t>Q8</t>
  </si>
  <si>
    <t>WORK TELEPHONE</t>
  </si>
  <si>
    <t>Q9</t>
  </si>
  <si>
    <t>DATE OF BIRTH</t>
  </si>
  <si>
    <t>Q10</t>
  </si>
  <si>
    <t>SEX</t>
  </si>
  <si>
    <t>MALE</t>
  </si>
  <si>
    <t>FEMALE</t>
  </si>
  <si>
    <t>UNKNOWN</t>
  </si>
  <si>
    <t>Q11</t>
  </si>
  <si>
    <t>MARITAL STATUS</t>
  </si>
  <si>
    <t>MARRIED</t>
  </si>
  <si>
    <t>DIVORCED</t>
  </si>
  <si>
    <t>SEPARATED</t>
  </si>
  <si>
    <t>SINGLE</t>
  </si>
  <si>
    <t>WIDOWED</t>
  </si>
  <si>
    <t>Q12</t>
  </si>
  <si>
    <t>ETHNIC ORIGIN</t>
  </si>
  <si>
    <t>A-WHITE</t>
  </si>
  <si>
    <t>ENGLISH/SCOTTISH/WELSH/NI BRITISH</t>
  </si>
  <si>
    <t>IRISH</t>
  </si>
  <si>
    <t>GYPSY/IRISH TRAVELLER</t>
  </si>
  <si>
    <t>ANY OTHER</t>
  </si>
  <si>
    <t>B-MIXED/MULTIPLE ETHNIC GROUPS</t>
  </si>
  <si>
    <t>WHITE &amp;BLACK CARIBBEAN</t>
  </si>
  <si>
    <t>WHITE &amp; BLACK AFRICAN</t>
  </si>
  <si>
    <t>WHITE &amp; ASIAN</t>
  </si>
  <si>
    <t>C- ASIAN/ASIAN BRITISH</t>
  </si>
  <si>
    <t>INDIAN</t>
  </si>
  <si>
    <t>PAKISTAN</t>
  </si>
  <si>
    <t>BANGLADESHI</t>
  </si>
  <si>
    <t>CHINESE</t>
  </si>
  <si>
    <t>D- BLACK/AFRICAN/CARIBBEAN/BLACK BRITISH</t>
  </si>
  <si>
    <t>AFRICAN</t>
  </si>
  <si>
    <t>CARIBBEAN</t>
  </si>
  <si>
    <t>E- OTHER ETHNIC GROUP</t>
  </si>
  <si>
    <t>ARAB</t>
  </si>
  <si>
    <t>Q31</t>
  </si>
  <si>
    <t>Q13</t>
  </si>
  <si>
    <t>G.P</t>
  </si>
  <si>
    <t>Q14</t>
  </si>
  <si>
    <t>DATE OF DEATH</t>
  </si>
  <si>
    <t>Q15</t>
  </si>
  <si>
    <t>DEATH FLAG</t>
  </si>
  <si>
    <t>??</t>
  </si>
  <si>
    <t>Q16</t>
  </si>
  <si>
    <t>Q18</t>
  </si>
  <si>
    <t>PREVIOUS ENTRY TO DATABASE</t>
  </si>
  <si>
    <t>Q19</t>
  </si>
  <si>
    <t>Q20</t>
  </si>
  <si>
    <t>Q21</t>
  </si>
  <si>
    <t>Q22</t>
  </si>
  <si>
    <t>Q23</t>
  </si>
  <si>
    <t>Q24</t>
  </si>
  <si>
    <t>Q77</t>
  </si>
  <si>
    <t>Q78</t>
  </si>
  <si>
    <t>Q52</t>
  </si>
  <si>
    <t>Q74</t>
  </si>
  <si>
    <t>Q100</t>
  </si>
  <si>
    <t>MRC SCORE</t>
  </si>
  <si>
    <t>FRAILTY SCORE</t>
  </si>
  <si>
    <t>Q25</t>
  </si>
  <si>
    <t>Q26</t>
  </si>
  <si>
    <t>Q27</t>
  </si>
  <si>
    <t>Q28</t>
  </si>
  <si>
    <t>Q29</t>
  </si>
  <si>
    <t>Q30</t>
  </si>
  <si>
    <t>Q32</t>
  </si>
  <si>
    <t>Q33</t>
  </si>
  <si>
    <t>Q34</t>
  </si>
  <si>
    <t>Q35</t>
  </si>
  <si>
    <t>Q36</t>
  </si>
  <si>
    <t>NA</t>
  </si>
  <si>
    <t>Q37</t>
  </si>
  <si>
    <t>Q38</t>
  </si>
  <si>
    <t>Q39</t>
  </si>
  <si>
    <t>Q40</t>
  </si>
  <si>
    <t>Q41</t>
  </si>
  <si>
    <t>Q43</t>
  </si>
  <si>
    <t>Q44</t>
  </si>
  <si>
    <t>Q45</t>
  </si>
  <si>
    <t>Q46</t>
  </si>
  <si>
    <t>Q47</t>
  </si>
  <si>
    <t>Q48</t>
  </si>
  <si>
    <t>Q49</t>
  </si>
  <si>
    <t>Q50</t>
  </si>
  <si>
    <t>Q88</t>
  </si>
  <si>
    <t>Q51</t>
  </si>
  <si>
    <t>Q53</t>
  </si>
  <si>
    <t>Q54</t>
  </si>
  <si>
    <t>Q55</t>
  </si>
  <si>
    <t>Q56</t>
  </si>
  <si>
    <t>Q57</t>
  </si>
  <si>
    <t>Q59</t>
  </si>
  <si>
    <t>Q60</t>
  </si>
  <si>
    <t>Q61</t>
  </si>
  <si>
    <t>Q62</t>
  </si>
  <si>
    <t>Q63</t>
  </si>
  <si>
    <t>Q64</t>
  </si>
  <si>
    <t>Q65</t>
  </si>
  <si>
    <t>Q66</t>
  </si>
  <si>
    <t>Q67</t>
  </si>
  <si>
    <t>Q68</t>
  </si>
  <si>
    <t>Q69</t>
  </si>
  <si>
    <t>Q70</t>
  </si>
  <si>
    <t>Q73</t>
  </si>
  <si>
    <t>Q79</t>
  </si>
  <si>
    <t>Q80</t>
  </si>
  <si>
    <t>Q81</t>
  </si>
  <si>
    <t>Q82</t>
  </si>
  <si>
    <t>Q83</t>
  </si>
  <si>
    <t>Q84</t>
  </si>
  <si>
    <t>Q85</t>
  </si>
  <si>
    <t>Q86</t>
  </si>
  <si>
    <t>Q87</t>
  </si>
  <si>
    <t>Q75</t>
  </si>
  <si>
    <t>Q76</t>
  </si>
  <si>
    <t>Q89</t>
  </si>
  <si>
    <t>Q90</t>
  </si>
  <si>
    <t>Q91</t>
  </si>
  <si>
    <t>Q92</t>
  </si>
  <si>
    <t>Q93</t>
  </si>
  <si>
    <t>Q94</t>
  </si>
  <si>
    <t>Q95</t>
  </si>
  <si>
    <t>Q96</t>
  </si>
  <si>
    <t>Q97</t>
  </si>
  <si>
    <t>Q98</t>
  </si>
  <si>
    <t>Q99</t>
  </si>
  <si>
    <t>CAT SCORE</t>
  </si>
  <si>
    <t>Q101</t>
  </si>
  <si>
    <t>Q17</t>
  </si>
  <si>
    <t>copd_employ_status</t>
  </si>
  <si>
    <t>copd_social_circ</t>
  </si>
  <si>
    <t>copd_spiro_where</t>
  </si>
  <si>
    <t>copd_admitted_from</t>
  </si>
  <si>
    <t>copd_ward</t>
  </si>
  <si>
    <t>copd_diagnosis</t>
  </si>
  <si>
    <t>copd_inhaled_meds</t>
  </si>
  <si>
    <t>copd_comorb_vascular</t>
  </si>
  <si>
    <t>copd_comorb_metabolic</t>
  </si>
  <si>
    <t>copd_comorb_muscskel</t>
  </si>
  <si>
    <t>copd_comorb_cardiac</t>
  </si>
  <si>
    <t>copd_comorb_neurol</t>
  </si>
  <si>
    <t>copd_comorb_infdis</t>
  </si>
  <si>
    <t>copd_comorb_gi</t>
  </si>
  <si>
    <t>copd_comorb_psych</t>
  </si>
  <si>
    <t>copd_nurse</t>
  </si>
  <si>
    <t>copd_sputum_colour</t>
  </si>
  <si>
    <t>copd_smoke_cess_dec_reason</t>
  </si>
  <si>
    <t>copd_pr_ref_dec_reason</t>
  </si>
  <si>
    <t>copd_inh_tech_understand</t>
  </si>
  <si>
    <t>copd_discharge_to</t>
  </si>
  <si>
    <t>copd_op_decline_reason</t>
  </si>
  <si>
    <t>copd_outcome</t>
  </si>
  <si>
    <t>copd_readm_reason</t>
  </si>
  <si>
    <t>copd_presenting_probs</t>
  </si>
  <si>
    <t>copd_o2_user</t>
  </si>
  <si>
    <t>copd_exerc_behaviour</t>
  </si>
  <si>
    <t>copd_adm_avoidance</t>
  </si>
  <si>
    <t>copd_fo_phone_outcome</t>
  </si>
  <si>
    <t>copd_fo_phone_pr_dec_reason</t>
  </si>
  <si>
    <t>copd_onward_referral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</si>
</sst>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FF0000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A6A6A6"/>
        <bgColor rgb="FFC4BD97"/>
      </patternFill>
    </fill>
    <fill>
      <patternFill patternType="solid">
        <fgColor rgb="FFF2F2F2"/>
        <bgColor rgb="FFFFFFFF"/>
      </patternFill>
    </fill>
    <fill>
      <patternFill patternType="solid">
        <fgColor rgb="FF808080"/>
        <bgColor rgb="FF666699"/>
      </patternFill>
    </fill>
    <fill>
      <patternFill patternType="solid">
        <fgColor rgb="FF8EB4E3"/>
        <bgColor rgb="FF9999FF"/>
      </patternFill>
    </fill>
    <fill>
      <patternFill patternType="solid">
        <fgColor rgb="FFE6B9B8"/>
        <bgColor rgb="FFCCC1DA"/>
      </patternFill>
    </fill>
    <fill>
      <patternFill patternType="solid">
        <fgColor rgb="FFD7E4BD"/>
        <bgColor rgb="FFD9D9D9"/>
      </patternFill>
    </fill>
    <fill>
      <patternFill patternType="solid">
        <fgColor rgb="FFCCC1DA"/>
        <bgColor rgb="FFE6B9B8"/>
      </patternFill>
    </fill>
    <fill>
      <patternFill patternType="solid">
        <fgColor rgb="FFB7DEE8"/>
        <bgColor rgb="FFC6D9F1"/>
      </patternFill>
    </fill>
    <fill>
      <patternFill patternType="solid">
        <fgColor rgb="FFFCD5B5"/>
        <bgColor rgb="FFF2DCDB"/>
      </patternFill>
    </fill>
    <fill>
      <patternFill patternType="solid">
        <fgColor rgb="FFC4BD97"/>
        <bgColor rgb="FFE6B9B8"/>
      </patternFill>
    </fill>
    <fill>
      <patternFill patternType="solid">
        <fgColor rgb="FFD9D9D9"/>
        <bgColor rgb="FFD7E4BD"/>
      </patternFill>
    </fill>
    <fill>
      <patternFill patternType="solid">
        <fgColor rgb="FFFFFFFF"/>
        <bgColor rgb="FFF2F2F2"/>
      </patternFill>
    </fill>
    <fill>
      <patternFill patternType="solid">
        <fgColor rgb="FFC6D9F1"/>
        <bgColor rgb="FFB7DEE8"/>
      </patternFill>
    </fill>
    <fill>
      <patternFill patternType="solid">
        <fgColor rgb="FFF2DCDB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2F2F2"/>
      <rgbColor rgb="FFB7DEE8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D7E4BD"/>
      <rgbColor rgb="FFF2DCDB"/>
      <rgbColor rgb="FF8EB4E3"/>
      <rgbColor rgb="FFE6B9B8"/>
      <rgbColor rgb="FFC4BD97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124"/>
  <sheetViews>
    <sheetView windowProtection="false" showFormulas="false" showGridLines="true" showRowColHeaders="true" showZeros="true" rightToLeft="false" tabSelected="false" showOutlineSymbols="true" defaultGridColor="true" view="normal" topLeftCell="A35" colorId="64" zoomScale="100" zoomScaleNormal="100" zoomScalePageLayoutView="100" workbookViewId="0">
      <selection pane="topLeft" activeCell="B59" activeCellId="0" sqref="B59"/>
    </sheetView>
  </sheetViews>
  <sheetFormatPr defaultRowHeight="13.8"/>
  <cols>
    <col collapsed="false" hidden="false" max="1" min="1" style="0" width="19.4489795918367"/>
    <col collapsed="false" hidden="false" max="2" min="2" style="0" width="36.9540816326531"/>
    <col collapsed="false" hidden="false" max="3" min="3" style="0" width="16.8112244897959"/>
    <col collapsed="false" hidden="false" max="5" min="4" style="0" width="3.33163265306122"/>
    <col collapsed="false" hidden="false" max="6" min="6" style="0" width="3.05102040816327"/>
    <col collapsed="false" hidden="false" max="7" min="7" style="0" width="33.6224489795918"/>
    <col collapsed="false" hidden="false" max="8" min="8" style="0" width="10.6632653061225"/>
    <col collapsed="false" hidden="false" max="9" min="9" style="0" width="14.0408163265306"/>
    <col collapsed="false" hidden="false" max="10" min="10" style="0" width="10.9336734693878"/>
    <col collapsed="false" hidden="false" max="11" min="11" style="0" width="11.0714285714286"/>
    <col collapsed="false" hidden="false" max="12" min="12" style="0" width="10.1224489795918"/>
    <col collapsed="false" hidden="false" max="13" min="13" style="0" width="11.3418367346939"/>
    <col collapsed="false" hidden="false" max="18" min="14" style="0" width="8.50510204081633"/>
    <col collapsed="false" hidden="false" max="19" min="19" style="0" width="9.98979591836735"/>
    <col collapsed="false" hidden="false" max="1025" min="20" style="0" width="8.50510204081633"/>
  </cols>
  <sheetData>
    <row r="1" customFormat="false" ht="17.35" hidden="false" customHeight="false" outlineLevel="0" collapsed="false">
      <c r="E1" s="1" t="s">
        <v>0</v>
      </c>
      <c r="F1" s="1"/>
      <c r="G1" s="1"/>
      <c r="H1" s="1"/>
      <c r="I1" s="2" t="s">
        <v>1</v>
      </c>
    </row>
    <row r="2" customFormat="false" ht="15" hidden="false" customHeight="false" outlineLevel="0" collapsed="false">
      <c r="E2" s="3" t="s">
        <v>2</v>
      </c>
      <c r="F2" s="3"/>
      <c r="G2" s="3"/>
      <c r="H2" s="4"/>
      <c r="I2" s="5"/>
      <c r="J2" s="5"/>
      <c r="K2" s="5"/>
      <c r="L2" s="5"/>
    </row>
    <row r="3" customFormat="false" ht="13.8" hidden="false" customHeight="false" outlineLevel="0" collapsed="false">
      <c r="A3" s="0" t="str">
        <f aca="false">PROPER(F3)</f>
        <v>Employment Status</v>
      </c>
      <c r="B3" s="0" t="s">
        <v>3</v>
      </c>
      <c r="C3" s="0" t="s">
        <v>4</v>
      </c>
      <c r="E3" s="6" t="n">
        <v>13</v>
      </c>
      <c r="F3" s="6" t="s">
        <v>5</v>
      </c>
      <c r="G3" s="6"/>
      <c r="H3" s="0" t="s">
        <v>6</v>
      </c>
      <c r="I3" s="7" t="s">
        <v>7</v>
      </c>
      <c r="J3" s="7" t="s">
        <v>8</v>
      </c>
      <c r="K3" s="8" t="s">
        <v>9</v>
      </c>
      <c r="L3" s="8"/>
      <c r="M3" s="8" t="s">
        <v>10</v>
      </c>
      <c r="N3" s="8"/>
      <c r="O3" s="8"/>
      <c r="P3" s="7" t="s">
        <v>11</v>
      </c>
    </row>
    <row r="4" customFormat="false" ht="13.8" hidden="false" customHeight="false" outlineLevel="0" collapsed="false">
      <c r="A4" s="0" t="str">
        <f aca="false">PROPER(F4)</f>
        <v>Social Circumstances</v>
      </c>
      <c r="B4" s="9" t="s">
        <v>12</v>
      </c>
      <c r="C4" s="9" t="s">
        <v>4</v>
      </c>
      <c r="D4" s="9"/>
      <c r="E4" s="6" t="n">
        <v>14</v>
      </c>
      <c r="F4" s="10" t="s">
        <v>13</v>
      </c>
      <c r="G4" s="6"/>
      <c r="H4" s="11" t="s">
        <v>14</v>
      </c>
      <c r="I4" s="11"/>
      <c r="J4" s="11" t="s">
        <v>15</v>
      </c>
      <c r="K4" s="11"/>
      <c r="L4" s="11"/>
      <c r="M4" s="11" t="s">
        <v>16</v>
      </c>
      <c r="N4" s="11"/>
      <c r="O4" s="12" t="s">
        <v>11</v>
      </c>
    </row>
    <row r="5" customFormat="false" ht="13.8" hidden="false" customHeight="false" outlineLevel="0" collapsed="false">
      <c r="A5" s="0" t="str">
        <f aca="false">PROPER(F5)</f>
        <v>Web Literate</v>
      </c>
      <c r="B5" s="9" t="s">
        <v>17</v>
      </c>
      <c r="C5" s="9" t="s">
        <v>18</v>
      </c>
      <c r="D5" s="9"/>
      <c r="E5" s="6" t="n">
        <v>18</v>
      </c>
      <c r="F5" s="6" t="s">
        <v>19</v>
      </c>
      <c r="G5" s="6"/>
      <c r="H5" s="0" t="s">
        <v>20</v>
      </c>
      <c r="I5" s="0" t="s">
        <v>21</v>
      </c>
    </row>
    <row r="6" customFormat="false" ht="13.8" hidden="false" customHeight="false" outlineLevel="0" collapsed="false">
      <c r="A6" s="0" t="str">
        <f aca="false">PROPER(F6)</f>
        <v/>
      </c>
      <c r="B6" s="9"/>
      <c r="C6" s="9"/>
      <c r="D6" s="9"/>
      <c r="E6" s="13" t="s">
        <v>22</v>
      </c>
      <c r="F6" s="13"/>
      <c r="G6" s="13"/>
      <c r="H6" s="14"/>
      <c r="I6" s="14"/>
    </row>
    <row r="7" customFormat="false" ht="13.8" hidden="false" customHeight="false" outlineLevel="0" collapsed="false">
      <c r="A7" s="0" t="str">
        <f aca="false">PROPER(F7)</f>
        <v>Confirmed Diagnosis With Spirometry Within &lt;5Years</v>
      </c>
      <c r="B7" s="9" t="s">
        <v>23</v>
      </c>
      <c r="C7" s="9" t="s">
        <v>18</v>
      </c>
      <c r="D7" s="9"/>
      <c r="E7" s="6" t="n">
        <v>19</v>
      </c>
      <c r="F7" s="6" t="s">
        <v>24</v>
      </c>
      <c r="G7" s="6"/>
      <c r="H7" s="7" t="s">
        <v>20</v>
      </c>
      <c r="I7" s="7" t="s">
        <v>21</v>
      </c>
    </row>
    <row r="8" customFormat="false" ht="13.8" hidden="false" customHeight="false" outlineLevel="0" collapsed="false">
      <c r="A8" s="0" t="str">
        <f aca="false">PROPER(F8)</f>
        <v>Fev1 L%</v>
      </c>
      <c r="B8" s="9" t="s">
        <v>25</v>
      </c>
      <c r="C8" s="9"/>
      <c r="D8" s="9"/>
      <c r="E8" s="6" t="n">
        <v>20</v>
      </c>
      <c r="F8" s="6" t="s">
        <v>26</v>
      </c>
      <c r="G8" s="6"/>
      <c r="H8" s="7" t="s">
        <v>27</v>
      </c>
      <c r="I8" s="7" t="s">
        <v>28</v>
      </c>
    </row>
    <row r="9" customFormat="false" ht="13.8" hidden="false" customHeight="false" outlineLevel="0" collapsed="false">
      <c r="A9" s="0" t="str">
        <f aca="false">PROPER(F9)</f>
        <v>Fvc L%</v>
      </c>
      <c r="B9" s="9" t="s">
        <v>29</v>
      </c>
      <c r="C9" s="9"/>
      <c r="D9" s="9"/>
      <c r="E9" s="6" t="n">
        <v>21</v>
      </c>
      <c r="F9" s="6" t="s">
        <v>30</v>
      </c>
      <c r="G9" s="6"/>
      <c r="H9" s="7" t="s">
        <v>27</v>
      </c>
      <c r="I9" s="7" t="s">
        <v>28</v>
      </c>
    </row>
    <row r="10" customFormat="false" ht="13.8" hidden="false" customHeight="false" outlineLevel="0" collapsed="false">
      <c r="A10" s="0" t="str">
        <f aca="false">PROPER(F10)</f>
        <v>Fev1/Fvc %</v>
      </c>
      <c r="B10" s="9" t="s">
        <v>31</v>
      </c>
      <c r="C10" s="9"/>
      <c r="D10" s="9"/>
      <c r="E10" s="6" t="n">
        <v>22</v>
      </c>
      <c r="F10" s="6" t="s">
        <v>32</v>
      </c>
      <c r="G10" s="6"/>
      <c r="H10" s="7" t="s">
        <v>27</v>
      </c>
      <c r="I10" s="7" t="s">
        <v>28</v>
      </c>
    </row>
    <row r="11" customFormat="false" ht="13.8" hidden="false" customHeight="false" outlineLevel="0" collapsed="false">
      <c r="A11" s="0" t="str">
        <f aca="false">PROPER(F11)</f>
        <v>If Spirometry Available - Where Documented</v>
      </c>
      <c r="B11" s="9" t="s">
        <v>33</v>
      </c>
      <c r="C11" s="9" t="s">
        <v>4</v>
      </c>
      <c r="D11" s="9"/>
      <c r="E11" s="6" t="n">
        <v>23</v>
      </c>
      <c r="F11" s="6" t="s">
        <v>34</v>
      </c>
      <c r="G11" s="6"/>
      <c r="H11" s="11" t="s">
        <v>35</v>
      </c>
      <c r="I11" s="11"/>
      <c r="J11" s="12" t="s">
        <v>36</v>
      </c>
      <c r="K11" s="11" t="s">
        <v>37</v>
      </c>
      <c r="L11" s="11"/>
    </row>
    <row r="12" customFormat="false" ht="13.8" hidden="false" customHeight="false" outlineLevel="0" collapsed="false">
      <c r="A12" s="0" t="str">
        <f aca="false">PROPER(F12)</f>
        <v>No Spirometry Documented - Ip Spirometry (Aps) </v>
      </c>
      <c r="B12" s="9" t="s">
        <v>38</v>
      </c>
      <c r="C12" s="9" t="s">
        <v>4</v>
      </c>
      <c r="D12" s="9" t="s">
        <v>39</v>
      </c>
      <c r="E12" s="6" t="n">
        <v>24</v>
      </c>
      <c r="F12" s="15" t="s">
        <v>40</v>
      </c>
      <c r="G12" s="6"/>
      <c r="H12" s="16" t="s">
        <v>41</v>
      </c>
      <c r="I12" s="16"/>
      <c r="K12" s="16" t="s">
        <v>42</v>
      </c>
      <c r="L12" s="16"/>
      <c r="M12" s="16"/>
      <c r="P12" s="12" t="s">
        <v>43</v>
      </c>
    </row>
    <row r="13" customFormat="false" ht="13.8" hidden="false" customHeight="false" outlineLevel="0" collapsed="false">
      <c r="A13" s="0" t="str">
        <f aca="false">PROPER(F13)</f>
        <v>Fev1 L%</v>
      </c>
      <c r="B13" s="9" t="s">
        <v>44</v>
      </c>
      <c r="C13" s="9"/>
      <c r="D13" s="9"/>
      <c r="E13" s="6" t="n">
        <v>25</v>
      </c>
      <c r="F13" s="6" t="s">
        <v>26</v>
      </c>
      <c r="G13" s="6"/>
      <c r="H13" s="7" t="s">
        <v>27</v>
      </c>
      <c r="I13" s="7" t="s">
        <v>28</v>
      </c>
    </row>
    <row r="14" customFormat="false" ht="13.8" hidden="false" customHeight="false" outlineLevel="0" collapsed="false">
      <c r="A14" s="0" t="str">
        <f aca="false">PROPER(F14)</f>
        <v>Fvc L%</v>
      </c>
      <c r="B14" s="9" t="s">
        <v>45</v>
      </c>
      <c r="C14" s="9"/>
      <c r="D14" s="9"/>
      <c r="E14" s="6" t="n">
        <v>26</v>
      </c>
      <c r="F14" s="6" t="s">
        <v>30</v>
      </c>
      <c r="G14" s="6"/>
      <c r="H14" s="7" t="s">
        <v>27</v>
      </c>
      <c r="I14" s="7" t="s">
        <v>28</v>
      </c>
    </row>
    <row r="15" customFormat="false" ht="13.8" hidden="false" customHeight="false" outlineLevel="0" collapsed="false">
      <c r="A15" s="0" t="str">
        <f aca="false">PROPER(F15)</f>
        <v>Fev1/Fvc %</v>
      </c>
      <c r="B15" s="9" t="s">
        <v>46</v>
      </c>
      <c r="C15" s="9"/>
      <c r="D15" s="9"/>
      <c r="E15" s="6" t="n">
        <v>27</v>
      </c>
      <c r="F15" s="6" t="s">
        <v>32</v>
      </c>
      <c r="G15" s="6"/>
      <c r="H15" s="7" t="s">
        <v>27</v>
      </c>
      <c r="I15" s="7" t="s">
        <v>28</v>
      </c>
    </row>
    <row r="16" customFormat="false" ht="13.8" hidden="false" customHeight="false" outlineLevel="0" collapsed="false">
      <c r="A16" s="0" t="str">
        <f aca="false">PROPER(F16)</f>
        <v>Follow Up Spirometry Required</v>
      </c>
      <c r="B16" s="9" t="s">
        <v>47</v>
      </c>
      <c r="C16" s="9" t="s">
        <v>18</v>
      </c>
      <c r="D16" s="9"/>
      <c r="E16" s="6" t="n">
        <v>28</v>
      </c>
      <c r="F16" s="15" t="s">
        <v>48</v>
      </c>
      <c r="G16" s="6"/>
      <c r="H16" s="17" t="s">
        <v>20</v>
      </c>
      <c r="I16" s="17" t="s">
        <v>21</v>
      </c>
    </row>
    <row r="17" customFormat="false" ht="13.8" hidden="false" customHeight="false" outlineLevel="0" collapsed="false">
      <c r="A17" s="0" t="str">
        <f aca="false">PROPER(F17)</f>
        <v/>
      </c>
      <c r="B17" s="9"/>
      <c r="C17" s="9"/>
      <c r="D17" s="9"/>
      <c r="E17" s="13" t="s">
        <v>49</v>
      </c>
      <c r="F17" s="13"/>
      <c r="G17" s="13"/>
      <c r="H17" s="14"/>
      <c r="I17" s="14"/>
    </row>
    <row r="18" customFormat="false" ht="13.8" hidden="false" customHeight="false" outlineLevel="0" collapsed="false">
      <c r="A18" s="0" t="str">
        <f aca="false">PROPER(F18)</f>
        <v>Hospital Admitted To </v>
      </c>
      <c r="B18" s="9" t="s">
        <v>50</v>
      </c>
      <c r="C18" s="9" t="s">
        <v>4</v>
      </c>
      <c r="D18" s="9" t="s">
        <v>51</v>
      </c>
      <c r="E18" s="6" t="n">
        <v>29</v>
      </c>
      <c r="F18" s="10" t="s">
        <v>52</v>
      </c>
      <c r="G18" s="6"/>
      <c r="H18" s="16" t="s">
        <v>53</v>
      </c>
      <c r="I18" s="16" t="s">
        <v>54</v>
      </c>
    </row>
    <row r="19" customFormat="false" ht="13.8" hidden="false" customHeight="false" outlineLevel="0" collapsed="false">
      <c r="A19" s="0" t="str">
        <f aca="false">PROPER(F19)</f>
        <v>Admitted From</v>
      </c>
      <c r="B19" s="9" t="s">
        <v>55</v>
      </c>
      <c r="C19" s="9" t="s">
        <v>4</v>
      </c>
      <c r="D19" s="9"/>
      <c r="E19" s="6" t="n">
        <v>30</v>
      </c>
      <c r="F19" s="10" t="s">
        <v>56</v>
      </c>
      <c r="G19" s="6"/>
      <c r="H19" s="0" t="s">
        <v>57</v>
      </c>
      <c r="I19" s="0" t="s">
        <v>58</v>
      </c>
      <c r="J19" s="12" t="s">
        <v>54</v>
      </c>
      <c r="K19" s="12" t="s">
        <v>59</v>
      </c>
      <c r="L19" s="12" t="s">
        <v>60</v>
      </c>
      <c r="M19" s="12" t="s">
        <v>61</v>
      </c>
      <c r="N19" s="12" t="s">
        <v>62</v>
      </c>
      <c r="O19" s="11" t="s">
        <v>63</v>
      </c>
      <c r="P19" s="11"/>
      <c r="Q19" s="11" t="s">
        <v>64</v>
      </c>
      <c r="R19" s="11"/>
      <c r="S19" s="12" t="s">
        <v>65</v>
      </c>
      <c r="T19" s="11" t="s">
        <v>66</v>
      </c>
      <c r="U19" s="11"/>
    </row>
    <row r="20" customFormat="false" ht="13.8" hidden="false" customHeight="false" outlineLevel="0" collapsed="false">
      <c r="A20" s="0" t="str">
        <f aca="false">PROPER(F20)</f>
        <v>Date Of Admission</v>
      </c>
      <c r="B20" s="9" t="s">
        <v>67</v>
      </c>
      <c r="C20" s="9" t="s">
        <v>68</v>
      </c>
      <c r="D20" s="9"/>
      <c r="E20" s="6" t="n">
        <v>31</v>
      </c>
      <c r="F20" s="10" t="s">
        <v>69</v>
      </c>
      <c r="G20" s="6"/>
    </row>
    <row r="21" customFormat="false" ht="13.8" hidden="false" customHeight="false" outlineLevel="0" collapsed="false">
      <c r="A21" s="0" t="str">
        <f aca="false">PROPER(F21)</f>
        <v>Ward Admitted To</v>
      </c>
      <c r="B21" s="9" t="s">
        <v>70</v>
      </c>
      <c r="C21" s="9" t="s">
        <v>71</v>
      </c>
      <c r="D21" s="9"/>
      <c r="E21" s="6" t="n">
        <v>32</v>
      </c>
      <c r="F21" s="10" t="s">
        <v>72</v>
      </c>
      <c r="G21" s="6"/>
      <c r="H21" s="12" t="s">
        <v>61</v>
      </c>
      <c r="I21" s="12" t="s">
        <v>73</v>
      </c>
      <c r="J21" s="12" t="n">
        <v>15</v>
      </c>
      <c r="K21" s="12" t="n">
        <v>16</v>
      </c>
      <c r="L21" s="12" t="n">
        <v>17</v>
      </c>
      <c r="M21" s="12" t="n">
        <v>20</v>
      </c>
      <c r="N21" s="12" t="s">
        <v>74</v>
      </c>
      <c r="O21" s="12" t="n">
        <v>27</v>
      </c>
      <c r="P21" s="12" t="s">
        <v>75</v>
      </c>
      <c r="Q21" s="12" t="n">
        <v>28</v>
      </c>
      <c r="R21" s="12" t="n">
        <v>29</v>
      </c>
      <c r="S21" s="12" t="n">
        <v>33</v>
      </c>
      <c r="T21" s="12" t="s">
        <v>76</v>
      </c>
      <c r="U21" s="12" t="n">
        <v>34</v>
      </c>
    </row>
    <row r="22" customFormat="false" ht="13.8" hidden="false" customHeight="false" outlineLevel="0" collapsed="false">
      <c r="A22" s="0" t="str">
        <f aca="false">PROPER(F22)</f>
        <v>Reviewed By Copd Team</v>
      </c>
      <c r="B22" s="9" t="s">
        <v>77</v>
      </c>
      <c r="C22" s="9" t="s">
        <v>4</v>
      </c>
      <c r="D22" s="9" t="s">
        <v>78</v>
      </c>
      <c r="E22" s="6" t="n">
        <v>33</v>
      </c>
      <c r="F22" s="10" t="s">
        <v>79</v>
      </c>
      <c r="G22" s="6"/>
      <c r="H22" s="0" t="s">
        <v>20</v>
      </c>
      <c r="I22" s="0" t="s">
        <v>21</v>
      </c>
      <c r="J22" s="0" t="s">
        <v>80</v>
      </c>
    </row>
    <row r="23" customFormat="false" ht="13.8" hidden="false" customHeight="false" outlineLevel="0" collapsed="false">
      <c r="A23" s="0" t="str">
        <f aca="false">PROPER(F23)</f>
        <v>Date Seen</v>
      </c>
      <c r="B23" s="9" t="s">
        <v>81</v>
      </c>
      <c r="C23" s="9" t="s">
        <v>68</v>
      </c>
      <c r="D23" s="9"/>
      <c r="E23" s="6" t="n">
        <v>34</v>
      </c>
      <c r="F23" s="10" t="s">
        <v>82</v>
      </c>
      <c r="G23" s="6"/>
    </row>
    <row r="24" customFormat="false" ht="13.8" hidden="false" customHeight="false" outlineLevel="0" collapsed="false">
      <c r="A24" s="0" t="str">
        <f aca="false">PROPER(F24)</f>
        <v>Diagnosis</v>
      </c>
      <c r="B24" s="9" t="s">
        <v>83</v>
      </c>
      <c r="C24" s="9" t="s">
        <v>4</v>
      </c>
      <c r="D24" s="9"/>
      <c r="E24" s="6" t="n">
        <v>35</v>
      </c>
      <c r="F24" s="10" t="s">
        <v>84</v>
      </c>
      <c r="G24" s="6"/>
      <c r="H24" s="8" t="s">
        <v>85</v>
      </c>
      <c r="I24" s="8"/>
      <c r="J24" s="8"/>
      <c r="K24" s="8" t="s">
        <v>86</v>
      </c>
      <c r="L24" s="8"/>
      <c r="M24" s="8"/>
      <c r="N24" s="0" t="s">
        <v>11</v>
      </c>
    </row>
    <row r="25" customFormat="false" ht="13.8" hidden="false" customHeight="false" outlineLevel="0" collapsed="false">
      <c r="A25" s="0" t="str">
        <f aca="false">PROPER(F25)</f>
        <v>Inhaled Medication</v>
      </c>
      <c r="B25" s="9" t="s">
        <v>87</v>
      </c>
      <c r="C25" s="9" t="s">
        <v>88</v>
      </c>
      <c r="D25" s="9"/>
      <c r="E25" s="6" t="n">
        <v>36</v>
      </c>
      <c r="F25" s="6" t="s">
        <v>89</v>
      </c>
      <c r="G25" s="18"/>
      <c r="H25" s="0" t="s">
        <v>90</v>
      </c>
      <c r="I25" s="0" t="s">
        <v>91</v>
      </c>
      <c r="J25" s="0" t="s">
        <v>92</v>
      </c>
      <c r="K25" s="0" t="s">
        <v>93</v>
      </c>
      <c r="L25" s="12" t="s">
        <v>94</v>
      </c>
      <c r="M25" s="12" t="s">
        <v>95</v>
      </c>
      <c r="N25" s="12" t="s">
        <v>96</v>
      </c>
      <c r="O25" s="11" t="s">
        <v>97</v>
      </c>
      <c r="P25" s="11"/>
    </row>
    <row r="26" customFormat="false" ht="13.8" hidden="false" customHeight="false" outlineLevel="0" collapsed="false">
      <c r="A26" s="0" t="str">
        <f aca="false">PROPER(F26)</f>
        <v/>
      </c>
      <c r="B26" s="9"/>
      <c r="C26" s="9"/>
      <c r="D26" s="9"/>
      <c r="E26" s="19" t="s">
        <v>98</v>
      </c>
      <c r="F26" s="19"/>
      <c r="G26" s="19"/>
    </row>
    <row r="27" customFormat="false" ht="13.8" hidden="false" customHeight="false" outlineLevel="0" collapsed="false">
      <c r="A27" s="0" t="str">
        <f aca="false">PROPER(F27)</f>
        <v>Vascular</v>
      </c>
      <c r="B27" s="9" t="s">
        <v>99</v>
      </c>
      <c r="C27" s="9" t="s">
        <v>88</v>
      </c>
      <c r="D27" s="9"/>
      <c r="E27" s="6" t="n">
        <v>37</v>
      </c>
      <c r="F27" s="20" t="s">
        <v>100</v>
      </c>
      <c r="G27" s="20"/>
      <c r="H27" s="0" t="s">
        <v>101</v>
      </c>
      <c r="I27" s="0" t="s">
        <v>102</v>
      </c>
      <c r="J27" s="0" t="s">
        <v>103</v>
      </c>
      <c r="K27" s="0" t="s">
        <v>60</v>
      </c>
      <c r="L27" s="0" t="s">
        <v>104</v>
      </c>
      <c r="M27" s="0" t="s">
        <v>105</v>
      </c>
      <c r="N27" s="0" t="s">
        <v>106</v>
      </c>
      <c r="O27" s="0" t="s">
        <v>107</v>
      </c>
    </row>
    <row r="28" customFormat="false" ht="13.8" hidden="false" customHeight="false" outlineLevel="0" collapsed="false">
      <c r="A28" s="0" t="str">
        <f aca="false">PROPER(F28)</f>
        <v>Metabolic</v>
      </c>
      <c r="B28" s="9" t="s">
        <v>108</v>
      </c>
      <c r="C28" s="9" t="s">
        <v>88</v>
      </c>
      <c r="D28" s="9"/>
      <c r="E28" s="6" t="n">
        <v>38</v>
      </c>
      <c r="F28" s="21" t="s">
        <v>109</v>
      </c>
      <c r="G28" s="21"/>
      <c r="H28" s="0" t="s">
        <v>110</v>
      </c>
      <c r="I28" s="0" t="s">
        <v>111</v>
      </c>
      <c r="J28" s="0" t="s">
        <v>112</v>
      </c>
      <c r="K28" s="0" t="s">
        <v>113</v>
      </c>
      <c r="L28" s="0" t="s">
        <v>114</v>
      </c>
      <c r="M28" s="0" t="s">
        <v>115</v>
      </c>
      <c r="N28" s="0" t="s">
        <v>116</v>
      </c>
    </row>
    <row r="29" customFormat="false" ht="13.8" hidden="false" customHeight="false" outlineLevel="0" collapsed="false">
      <c r="A29" s="0" t="str">
        <f aca="false">PROPER(F29)</f>
        <v>Musculo-Skeletal</v>
      </c>
      <c r="B29" s="9" t="s">
        <v>117</v>
      </c>
      <c r="C29" s="9" t="s">
        <v>88</v>
      </c>
      <c r="D29" s="9"/>
      <c r="E29" s="6" t="n">
        <v>39</v>
      </c>
      <c r="F29" s="22" t="s">
        <v>118</v>
      </c>
      <c r="G29" s="22"/>
      <c r="H29" s="0" t="s">
        <v>119</v>
      </c>
      <c r="I29" s="0" t="s">
        <v>120</v>
      </c>
      <c r="J29" s="0" t="s">
        <v>121</v>
      </c>
      <c r="K29" s="11" t="s">
        <v>122</v>
      </c>
      <c r="L29" s="11"/>
      <c r="M29" s="0" t="s">
        <v>123</v>
      </c>
      <c r="N29" s="11" t="s">
        <v>124</v>
      </c>
      <c r="O29" s="11"/>
      <c r="P29" s="0" t="s">
        <v>125</v>
      </c>
    </row>
    <row r="30" customFormat="false" ht="13.8" hidden="false" customHeight="false" outlineLevel="0" collapsed="false">
      <c r="A30" s="0" t="str">
        <f aca="false">PROPER(F30)</f>
        <v>Cardiac</v>
      </c>
      <c r="B30" s="9" t="s">
        <v>126</v>
      </c>
      <c r="C30" s="9" t="s">
        <v>88</v>
      </c>
      <c r="D30" s="9"/>
      <c r="E30" s="6" t="n">
        <v>40</v>
      </c>
      <c r="F30" s="23" t="s">
        <v>127</v>
      </c>
      <c r="G30" s="23"/>
      <c r="H30" s="0" t="s">
        <v>128</v>
      </c>
      <c r="I30" s="0" t="s">
        <v>129</v>
      </c>
      <c r="J30" s="0" t="s">
        <v>130</v>
      </c>
      <c r="K30" s="0" t="s">
        <v>131</v>
      </c>
      <c r="L30" s="0" t="s">
        <v>132</v>
      </c>
      <c r="M30" s="11" t="s">
        <v>133</v>
      </c>
      <c r="N30" s="11"/>
      <c r="O30" s="11" t="s">
        <v>134</v>
      </c>
      <c r="P30" s="11"/>
      <c r="Q30" s="11" t="s">
        <v>135</v>
      </c>
      <c r="R30" s="11"/>
      <c r="S30" s="0" t="s">
        <v>136</v>
      </c>
      <c r="T30" s="11" t="s">
        <v>137</v>
      </c>
      <c r="U30" s="11"/>
      <c r="V30" s="0" t="s">
        <v>138</v>
      </c>
      <c r="W30" s="11" t="s">
        <v>139</v>
      </c>
      <c r="X30" s="11"/>
      <c r="Y30" s="0" t="s">
        <v>140</v>
      </c>
      <c r="Z30" s="0" t="s">
        <v>141</v>
      </c>
    </row>
    <row r="31" customFormat="false" ht="13.8" hidden="false" customHeight="false" outlineLevel="0" collapsed="false">
      <c r="A31" s="0" t="str">
        <f aca="false">PROPER(F31)</f>
        <v>Neurological</v>
      </c>
      <c r="B31" s="9" t="s">
        <v>142</v>
      </c>
      <c r="C31" s="9" t="s">
        <v>88</v>
      </c>
      <c r="D31" s="9"/>
      <c r="E31" s="6" t="n">
        <v>41</v>
      </c>
      <c r="F31" s="24" t="s">
        <v>143</v>
      </c>
      <c r="G31" s="24"/>
      <c r="H31" s="0" t="s">
        <v>144</v>
      </c>
      <c r="I31" s="11" t="s">
        <v>145</v>
      </c>
      <c r="J31" s="11"/>
      <c r="K31" s="0" t="s">
        <v>146</v>
      </c>
      <c r="W31" s="11" t="s">
        <v>147</v>
      </c>
      <c r="X31" s="11"/>
    </row>
    <row r="32" customFormat="false" ht="13.8" hidden="false" customHeight="false" outlineLevel="0" collapsed="false">
      <c r="A32" s="0" t="str">
        <f aca="false">PROPER(F32)</f>
        <v>Infectious Diseases</v>
      </c>
      <c r="B32" s="9" t="s">
        <v>148</v>
      </c>
      <c r="C32" s="9" t="s">
        <v>88</v>
      </c>
      <c r="D32" s="9"/>
      <c r="E32" s="6" t="n">
        <v>42</v>
      </c>
      <c r="F32" s="25" t="s">
        <v>149</v>
      </c>
      <c r="G32" s="25"/>
      <c r="H32" s="0" t="s">
        <v>150</v>
      </c>
      <c r="I32" s="0" t="s">
        <v>151</v>
      </c>
      <c r="J32" s="0" t="s">
        <v>152</v>
      </c>
      <c r="K32" s="0" t="s">
        <v>153</v>
      </c>
    </row>
    <row r="33" customFormat="false" ht="13.8" hidden="false" customHeight="false" outlineLevel="0" collapsed="false">
      <c r="A33" s="0" t="str">
        <f aca="false">PROPER(F33)</f>
        <v>Gastro Intestinal</v>
      </c>
      <c r="B33" s="9" t="s">
        <v>154</v>
      </c>
      <c r="C33" s="9" t="s">
        <v>88</v>
      </c>
      <c r="D33" s="9"/>
      <c r="E33" s="6" t="n">
        <v>43</v>
      </c>
      <c r="F33" s="26" t="s">
        <v>155</v>
      </c>
      <c r="G33" s="26"/>
      <c r="H33" s="0" t="s">
        <v>156</v>
      </c>
      <c r="I33" s="11" t="s">
        <v>157</v>
      </c>
      <c r="J33" s="11"/>
      <c r="K33" s="0" t="s">
        <v>158</v>
      </c>
      <c r="L33" s="11" t="s">
        <v>159</v>
      </c>
      <c r="M33" s="11"/>
      <c r="N33" s="11" t="s">
        <v>160</v>
      </c>
      <c r="O33" s="11"/>
    </row>
    <row r="34" customFormat="false" ht="13.8" hidden="false" customHeight="false" outlineLevel="0" collapsed="false">
      <c r="A34" s="0" t="str">
        <f aca="false">PROPER(F34)</f>
        <v>Cancers</v>
      </c>
      <c r="B34" s="9" t="s">
        <v>161</v>
      </c>
      <c r="C34" s="9" t="s">
        <v>88</v>
      </c>
      <c r="D34" s="9"/>
      <c r="E34" s="6" t="n">
        <v>44</v>
      </c>
      <c r="F34" s="27" t="s">
        <v>162</v>
      </c>
      <c r="G34" s="27"/>
    </row>
    <row r="35" customFormat="false" ht="13.8" hidden="false" customHeight="false" outlineLevel="0" collapsed="false">
      <c r="A35" s="0" t="str">
        <f aca="false">PROPER(F35)</f>
        <v>Psychiatric</v>
      </c>
      <c r="B35" s="9" t="s">
        <v>163</v>
      </c>
      <c r="C35" s="9" t="s">
        <v>88</v>
      </c>
      <c r="D35" s="9"/>
      <c r="E35" s="6" t="n">
        <v>45</v>
      </c>
      <c r="F35" s="20" t="s">
        <v>164</v>
      </c>
      <c r="G35" s="20"/>
      <c r="H35" s="0" t="s">
        <v>165</v>
      </c>
      <c r="I35" s="11" t="s">
        <v>166</v>
      </c>
      <c r="J35" s="11"/>
      <c r="K35" s="0" t="s">
        <v>167</v>
      </c>
      <c r="L35" s="11" t="s">
        <v>168</v>
      </c>
      <c r="M35" s="11"/>
      <c r="N35" s="11"/>
      <c r="O35" s="11" t="s">
        <v>169</v>
      </c>
      <c r="P35" s="11"/>
      <c r="Q35" s="11"/>
    </row>
    <row r="36" customFormat="false" ht="13.8" hidden="false" customHeight="false" outlineLevel="0" collapsed="false">
      <c r="A36" s="0" t="str">
        <f aca="false">PROPER(F36)</f>
        <v/>
      </c>
      <c r="B36" s="9"/>
      <c r="C36" s="9"/>
      <c r="D36" s="9"/>
      <c r="E36" s="19" t="s">
        <v>170</v>
      </c>
      <c r="F36" s="19"/>
      <c r="G36" s="19"/>
      <c r="Q36" s="12"/>
    </row>
    <row r="37" customFormat="false" ht="13.8" hidden="false" customHeight="false" outlineLevel="0" collapsed="false">
      <c r="A37" s="0" t="str">
        <f aca="false">PROPER(F37)</f>
        <v>How Many Times Pt Reviewed By Copd Nurse (Ip)</v>
      </c>
      <c r="B37" s="9" t="s">
        <v>171</v>
      </c>
      <c r="C37" s="9" t="s">
        <v>172</v>
      </c>
      <c r="D37" s="9"/>
      <c r="E37" s="6" t="n">
        <v>46</v>
      </c>
      <c r="F37" s="10" t="s">
        <v>173</v>
      </c>
      <c r="G37" s="6"/>
    </row>
    <row r="38" customFormat="false" ht="13.8" hidden="false" customHeight="false" outlineLevel="0" collapsed="false">
      <c r="A38" s="0" t="str">
        <f aca="false">PROPER(F38)</f>
        <v>Name Of Nurse/Ahp/Aps</v>
      </c>
      <c r="B38" s="9" t="s">
        <v>174</v>
      </c>
      <c r="C38" s="9" t="s">
        <v>71</v>
      </c>
      <c r="D38" s="9"/>
      <c r="E38" s="6" t="n">
        <v>47</v>
      </c>
      <c r="F38" s="10" t="s">
        <v>175</v>
      </c>
      <c r="G38" s="6"/>
      <c r="H38" s="11" t="s">
        <v>176</v>
      </c>
      <c r="I38" s="11"/>
      <c r="J38" s="11" t="s">
        <v>177</v>
      </c>
      <c r="K38" s="11"/>
      <c r="L38" s="11" t="s">
        <v>178</v>
      </c>
      <c r="M38" s="11"/>
      <c r="N38" s="11" t="s">
        <v>179</v>
      </c>
      <c r="O38" s="11"/>
      <c r="P38" s="11" t="s">
        <v>180</v>
      </c>
      <c r="Q38" s="11"/>
      <c r="R38" s="11" t="s">
        <v>181</v>
      </c>
      <c r="S38" s="11"/>
      <c r="T38" s="11"/>
      <c r="U38" s="11" t="s">
        <v>182</v>
      </c>
      <c r="V38" s="11"/>
      <c r="W38" s="11" t="s">
        <v>183</v>
      </c>
      <c r="X38" s="11"/>
    </row>
    <row r="39" customFormat="false" ht="13.8" hidden="false" customHeight="false" outlineLevel="0" collapsed="false">
      <c r="A39" s="0" t="str">
        <f aca="false">PROPER(F39)</f>
        <v/>
      </c>
      <c r="B39" s="9"/>
      <c r="C39" s="9"/>
      <c r="D39" s="9"/>
      <c r="E39" s="6"/>
      <c r="F39" s="6"/>
      <c r="G39" s="6"/>
      <c r="H39" s="8" t="s">
        <v>184</v>
      </c>
      <c r="I39" s="8"/>
      <c r="J39" s="11" t="s">
        <v>185</v>
      </c>
      <c r="K39" s="11"/>
      <c r="L39" s="11" t="s">
        <v>186</v>
      </c>
      <c r="M39" s="11"/>
      <c r="N39" s="11" t="s">
        <v>187</v>
      </c>
      <c r="O39" s="11"/>
      <c r="P39" s="11" t="s">
        <v>188</v>
      </c>
      <c r="Q39" s="11"/>
      <c r="R39" s="11" t="s">
        <v>189</v>
      </c>
      <c r="S39" s="11"/>
      <c r="T39" s="11" t="s">
        <v>190</v>
      </c>
      <c r="U39" s="11"/>
      <c r="V39" s="11" t="s">
        <v>191</v>
      </c>
      <c r="W39" s="11"/>
    </row>
    <row r="40" customFormat="false" ht="13.8" hidden="false" customHeight="false" outlineLevel="0" collapsed="false">
      <c r="A40" s="0" t="str">
        <f aca="false">PROPER(F40)</f>
        <v>Number Of Admissions In Last 12 Months (Resp 30A)</v>
      </c>
      <c r="B40" s="9" t="s">
        <v>192</v>
      </c>
      <c r="C40" s="9" t="s">
        <v>172</v>
      </c>
      <c r="D40" s="9"/>
      <c r="E40" s="6" t="n">
        <v>48</v>
      </c>
      <c r="F40" s="10" t="s">
        <v>193</v>
      </c>
      <c r="G40" s="6"/>
    </row>
    <row r="41" customFormat="false" ht="13.8" hidden="false" customHeight="false" outlineLevel="0" collapsed="false">
      <c r="A41" s="0" t="str">
        <f aca="false">PROPER(F41)</f>
        <v>Number Of Admissions In Last 12 Months (Other)</v>
      </c>
      <c r="B41" s="9" t="s">
        <v>194</v>
      </c>
      <c r="C41" s="9" t="s">
        <v>172</v>
      </c>
      <c r="D41" s="9"/>
      <c r="E41" s="6" t="n">
        <v>49</v>
      </c>
      <c r="F41" s="10" t="s">
        <v>195</v>
      </c>
      <c r="G41" s="6"/>
    </row>
    <row r="42" customFormat="false" ht="13.8" hidden="false" customHeight="false" outlineLevel="0" collapsed="false">
      <c r="A42" s="0" t="str">
        <f aca="false">PROPER(F42)</f>
        <v>Number Of Times Copd Bundle Completed In Last 12 Months</v>
      </c>
      <c r="B42" s="9" t="s">
        <v>196</v>
      </c>
      <c r="C42" s="9" t="s">
        <v>172</v>
      </c>
      <c r="D42" s="9"/>
      <c r="E42" s="6" t="n">
        <v>50</v>
      </c>
      <c r="F42" s="10" t="s">
        <v>197</v>
      </c>
      <c r="G42" s="6"/>
    </row>
    <row r="43" customFormat="false" ht="13.8" hidden="false" customHeight="false" outlineLevel="0" collapsed="false">
      <c r="A43" s="0" t="str">
        <f aca="false">PROPER(F43)</f>
        <v>Number Of Exacerbations In Last 12 Months</v>
      </c>
      <c r="B43" s="9" t="s">
        <v>198</v>
      </c>
      <c r="C43" s="9" t="s">
        <v>172</v>
      </c>
      <c r="D43" s="9"/>
      <c r="E43" s="6" t="n">
        <v>51</v>
      </c>
      <c r="F43" s="10" t="s">
        <v>199</v>
      </c>
      <c r="G43" s="6"/>
    </row>
    <row r="44" customFormat="false" ht="13.8" hidden="false" customHeight="false" outlineLevel="0" collapsed="false">
      <c r="A44" s="0" t="str">
        <f aca="false">PROPER(F44)</f>
        <v>Mrc Score (1-5)</v>
      </c>
      <c r="B44" s="9" t="s">
        <v>200</v>
      </c>
      <c r="C44" s="9" t="s">
        <v>4</v>
      </c>
      <c r="D44" s="9"/>
      <c r="E44" s="6" t="n">
        <v>52</v>
      </c>
      <c r="F44" s="6" t="s">
        <v>201</v>
      </c>
      <c r="G44" s="6"/>
    </row>
    <row r="45" customFormat="false" ht="13.8" hidden="false" customHeight="false" outlineLevel="0" collapsed="false">
      <c r="A45" s="0" t="str">
        <f aca="false">PROPER(F45)</f>
        <v>Frailty Score (5Sts Time)</v>
      </c>
      <c r="B45" s="9" t="s">
        <v>202</v>
      </c>
      <c r="C45" s="9"/>
      <c r="D45" s="9"/>
      <c r="E45" s="6" t="n">
        <v>53</v>
      </c>
      <c r="F45" s="6" t="s">
        <v>203</v>
      </c>
      <c r="G45" s="6"/>
    </row>
    <row r="46" customFormat="false" ht="13.8" hidden="false" customHeight="false" outlineLevel="0" collapsed="false">
      <c r="A46" s="0" t="str">
        <f aca="false">PROPER(F46)</f>
        <v>Sputum Colour</v>
      </c>
      <c r="B46" s="9" t="s">
        <v>204</v>
      </c>
      <c r="C46" s="9" t="s">
        <v>4</v>
      </c>
      <c r="D46" s="9"/>
      <c r="E46" s="6" t="n">
        <v>54</v>
      </c>
      <c r="F46" s="10" t="s">
        <v>205</v>
      </c>
      <c r="G46" s="6"/>
      <c r="H46" s="0" t="s">
        <v>206</v>
      </c>
      <c r="I46" s="0" t="s">
        <v>207</v>
      </c>
      <c r="J46" s="0" t="s">
        <v>208</v>
      </c>
    </row>
    <row r="47" customFormat="false" ht="13.8" hidden="false" customHeight="false" outlineLevel="0" collapsed="false">
      <c r="A47" s="0" t="str">
        <f aca="false">PROPER(F47)</f>
        <v/>
      </c>
      <c r="B47" s="9"/>
      <c r="C47" s="9"/>
      <c r="D47" s="9"/>
      <c r="E47" s="19" t="s">
        <v>209</v>
      </c>
      <c r="F47" s="28"/>
      <c r="G47" s="19"/>
    </row>
    <row r="48" customFormat="false" ht="13.8" hidden="false" customHeight="false" outlineLevel="0" collapsed="false">
      <c r="A48" s="0" t="str">
        <f aca="false">PROPER(F48)</f>
        <v>Priority Card Given</v>
      </c>
      <c r="B48" s="9" t="s">
        <v>210</v>
      </c>
      <c r="C48" s="0" t="s">
        <v>4</v>
      </c>
      <c r="D48" s="9" t="s">
        <v>211</v>
      </c>
      <c r="E48" s="6" t="n">
        <v>55</v>
      </c>
      <c r="F48" s="10" t="s">
        <v>212</v>
      </c>
      <c r="G48" s="6"/>
      <c r="H48" s="12" t="s">
        <v>20</v>
      </c>
      <c r="I48" s="12" t="s">
        <v>21</v>
      </c>
      <c r="J48" s="12" t="s">
        <v>213</v>
      </c>
      <c r="K48" s="11" t="s">
        <v>214</v>
      </c>
      <c r="L48" s="11"/>
    </row>
    <row r="49" customFormat="false" ht="13.8" hidden="false" customHeight="false" outlineLevel="0" collapsed="false">
      <c r="A49" s="0" t="str">
        <f aca="false">PROPER(F49)</f>
        <v>Patient On Care Bundle Pathway</v>
      </c>
      <c r="B49" s="9" t="s">
        <v>215</v>
      </c>
      <c r="C49" s="0" t="s">
        <v>4</v>
      </c>
      <c r="D49" s="9" t="s">
        <v>216</v>
      </c>
      <c r="E49" s="6" t="n">
        <v>56</v>
      </c>
      <c r="F49" s="10" t="s">
        <v>217</v>
      </c>
      <c r="G49" s="6"/>
      <c r="H49" s="0" t="s">
        <v>20</v>
      </c>
      <c r="I49" s="0" t="s">
        <v>21</v>
      </c>
      <c r="J49" s="0" t="s">
        <v>80</v>
      </c>
      <c r="K49" s="11" t="s">
        <v>213</v>
      </c>
      <c r="L49" s="11"/>
    </row>
    <row r="50" customFormat="false" ht="13.8" hidden="false" customHeight="false" outlineLevel="0" collapsed="false">
      <c r="A50" s="0" t="str">
        <f aca="false">PROPER(F50)</f>
        <v>Smoking Status</v>
      </c>
      <c r="B50" s="9" t="s">
        <v>218</v>
      </c>
      <c r="C50" s="9"/>
      <c r="D50" s="9"/>
      <c r="E50" s="6" t="n">
        <v>57</v>
      </c>
      <c r="F50" s="10" t="s">
        <v>219</v>
      </c>
      <c r="G50" s="6"/>
      <c r="H50" s="11" t="s">
        <v>220</v>
      </c>
      <c r="I50" s="11"/>
      <c r="J50" s="12" t="s">
        <v>221</v>
      </c>
      <c r="K50" s="11" t="s">
        <v>222</v>
      </c>
      <c r="L50" s="11"/>
    </row>
    <row r="51" customFormat="false" ht="13.8" hidden="false" customHeight="false" outlineLevel="0" collapsed="false">
      <c r="A51" s="0" t="str">
        <f aca="false">PROPER(F51)</f>
        <v>Smoking Pack Years</v>
      </c>
      <c r="B51" s="9" t="s">
        <v>223</v>
      </c>
      <c r="C51" s="9"/>
      <c r="D51" s="9"/>
      <c r="E51" s="6" t="n">
        <v>58</v>
      </c>
      <c r="F51" s="6" t="s">
        <v>224</v>
      </c>
      <c r="G51" s="6"/>
      <c r="H51" s="29" t="s">
        <v>225</v>
      </c>
    </row>
    <row r="52" customFormat="false" ht="13.8" hidden="false" customHeight="false" outlineLevel="0" collapsed="false">
      <c r="A52" s="0" t="str">
        <f aca="false">PROPER(F52)</f>
        <v>Offered Smoking Cessation</v>
      </c>
      <c r="B52" s="9" t="s">
        <v>226</v>
      </c>
      <c r="C52" s="0" t="s">
        <v>4</v>
      </c>
      <c r="D52" s="9" t="s">
        <v>227</v>
      </c>
      <c r="E52" s="6" t="n">
        <v>59</v>
      </c>
      <c r="F52" s="6" t="s">
        <v>228</v>
      </c>
      <c r="G52" s="6"/>
      <c r="H52" s="0" t="s">
        <v>20</v>
      </c>
      <c r="I52" s="0" t="s">
        <v>21</v>
      </c>
      <c r="J52" s="0" t="s">
        <v>229</v>
      </c>
      <c r="K52" s="12" t="s">
        <v>230</v>
      </c>
    </row>
    <row r="53" customFormat="false" ht="13.8" hidden="false" customHeight="false" outlineLevel="0" collapsed="false">
      <c r="A53" s="0" t="str">
        <f aca="false">PROPER(F53)</f>
        <v>If Declined Referral</v>
      </c>
      <c r="B53" s="9" t="s">
        <v>231</v>
      </c>
      <c r="C53" s="0" t="s">
        <v>71</v>
      </c>
      <c r="D53" s="9"/>
      <c r="E53" s="6" t="n">
        <v>60</v>
      </c>
      <c r="F53" s="6" t="s">
        <v>232</v>
      </c>
      <c r="G53" s="6"/>
      <c r="H53" s="11" t="s">
        <v>233</v>
      </c>
      <c r="I53" s="11"/>
      <c r="J53" s="11"/>
      <c r="K53" s="0" t="s">
        <v>234</v>
      </c>
      <c r="M53" s="11" t="s">
        <v>235</v>
      </c>
      <c r="N53" s="11"/>
      <c r="O53" s="11"/>
      <c r="P53" s="11"/>
      <c r="Q53" s="11" t="s">
        <v>236</v>
      </c>
      <c r="R53" s="11"/>
    </row>
    <row r="54" customFormat="false" ht="13.8" hidden="false" customHeight="false" outlineLevel="0" collapsed="false">
      <c r="A54" s="0" t="str">
        <f aca="false">PROPER(F54)</f>
        <v>Nrt Prescribed</v>
      </c>
      <c r="B54" s="9" t="s">
        <v>237</v>
      </c>
      <c r="C54" s="0" t="s">
        <v>4</v>
      </c>
      <c r="D54" s="9" t="s">
        <v>238</v>
      </c>
      <c r="E54" s="6" t="n">
        <v>61</v>
      </c>
      <c r="F54" s="6" t="s">
        <v>239</v>
      </c>
      <c r="G54" s="6"/>
      <c r="H54" s="0" t="s">
        <v>20</v>
      </c>
      <c r="I54" s="0" t="s">
        <v>21</v>
      </c>
      <c r="J54" s="12" t="s">
        <v>230</v>
      </c>
      <c r="K54" s="12"/>
    </row>
    <row r="55" customFormat="false" ht="13.8" hidden="false" customHeight="false" outlineLevel="0" collapsed="false">
      <c r="A55" s="0" t="str">
        <f aca="false">PROPER(F55)</f>
        <v>Referred To Pulmonary Rehabilitation</v>
      </c>
      <c r="B55" s="9" t="s">
        <v>240</v>
      </c>
      <c r="C55" s="0" t="s">
        <v>4</v>
      </c>
      <c r="D55" s="9" t="s">
        <v>241</v>
      </c>
      <c r="E55" s="6" t="n">
        <v>62</v>
      </c>
      <c r="F55" s="6" t="s">
        <v>242</v>
      </c>
      <c r="G55" s="6"/>
      <c r="H55" s="0" t="s">
        <v>20</v>
      </c>
      <c r="I55" s="0" t="s">
        <v>21</v>
      </c>
      <c r="J55" s="11" t="s">
        <v>243</v>
      </c>
      <c r="K55" s="11"/>
    </row>
    <row r="56" customFormat="false" ht="13.8" hidden="false" customHeight="false" outlineLevel="0" collapsed="false">
      <c r="A56" s="0" t="str">
        <f aca="false">PROPER(F56)</f>
        <v>Declined Pr Ref (As Ip)</v>
      </c>
      <c r="B56" s="9" t="s">
        <v>244</v>
      </c>
      <c r="C56" s="9" t="s">
        <v>71</v>
      </c>
      <c r="D56" s="9"/>
      <c r="E56" s="6" t="n">
        <v>63</v>
      </c>
      <c r="F56" s="6" t="s">
        <v>245</v>
      </c>
      <c r="G56" s="6"/>
      <c r="H56" s="11" t="s">
        <v>246</v>
      </c>
      <c r="I56" s="11"/>
      <c r="J56" s="0" t="s">
        <v>247</v>
      </c>
      <c r="K56" s="12" t="s">
        <v>248</v>
      </c>
      <c r="L56" s="11" t="s">
        <v>249</v>
      </c>
      <c r="M56" s="11"/>
      <c r="N56" s="11" t="s">
        <v>250</v>
      </c>
      <c r="O56" s="11"/>
      <c r="P56" s="11"/>
      <c r="Q56" s="11" t="s">
        <v>251</v>
      </c>
      <c r="R56" s="11"/>
      <c r="S56" s="11"/>
      <c r="T56" s="11" t="s">
        <v>252</v>
      </c>
      <c r="U56" s="11"/>
      <c r="V56" s="11"/>
    </row>
    <row r="57" customFormat="false" ht="13.8" hidden="false" customHeight="false" outlineLevel="0" collapsed="false">
      <c r="A57" s="0" t="str">
        <f aca="false">PROPER(F57)</f>
        <v>Inhaler Technique Demonstrated</v>
      </c>
      <c r="B57" s="9" t="s">
        <v>253</v>
      </c>
      <c r="C57" s="0" t="s">
        <v>4</v>
      </c>
      <c r="D57" s="9" t="s">
        <v>238</v>
      </c>
      <c r="E57" s="6" t="n">
        <v>64</v>
      </c>
      <c r="F57" s="6" t="s">
        <v>254</v>
      </c>
      <c r="G57" s="6"/>
      <c r="H57" s="12" t="s">
        <v>20</v>
      </c>
      <c r="I57" s="12" t="s">
        <v>21</v>
      </c>
      <c r="J57" s="12" t="s">
        <v>230</v>
      </c>
    </row>
    <row r="58" customFormat="false" ht="13.8" hidden="false" customHeight="false" outlineLevel="0" collapsed="false">
      <c r="A58" s="0" t="str">
        <f aca="false">PROPER(F58)</f>
        <v>If Yes….Understood?</v>
      </c>
      <c r="B58" s="9" t="s">
        <v>255</v>
      </c>
      <c r="C58" s="9" t="s">
        <v>71</v>
      </c>
      <c r="D58" s="9"/>
      <c r="E58" s="6" t="n">
        <v>65</v>
      </c>
      <c r="F58" s="6" t="s">
        <v>256</v>
      </c>
      <c r="G58" s="6"/>
      <c r="H58" s="30"/>
      <c r="I58" s="11" t="s">
        <v>257</v>
      </c>
      <c r="J58" s="11"/>
      <c r="L58" s="31" t="s">
        <v>258</v>
      </c>
      <c r="M58" s="31"/>
      <c r="N58" s="11" t="s">
        <v>259</v>
      </c>
      <c r="O58" s="11"/>
      <c r="Q58" s="16" t="s">
        <v>260</v>
      </c>
      <c r="R58" s="16"/>
      <c r="S58" s="16"/>
      <c r="U58" s="12" t="s">
        <v>261</v>
      </c>
      <c r="V58" s="12"/>
    </row>
    <row r="59" customFormat="false" ht="13.8" hidden="false" customHeight="false" outlineLevel="0" collapsed="false">
      <c r="A59" s="0" t="str">
        <f aca="false">PROPER(F59)</f>
        <v>Self Management Plan</v>
      </c>
      <c r="B59" s="9" t="s">
        <v>262</v>
      </c>
      <c r="C59" s="9" t="s">
        <v>18</v>
      </c>
      <c r="D59" s="9"/>
      <c r="E59" s="6" t="n">
        <v>66</v>
      </c>
      <c r="F59" s="6" t="s">
        <v>263</v>
      </c>
      <c r="G59" s="6"/>
      <c r="H59" s="7" t="s">
        <v>20</v>
      </c>
      <c r="I59" s="7" t="s">
        <v>21</v>
      </c>
    </row>
    <row r="60" customFormat="false" ht="13.8" hidden="false" customHeight="false" outlineLevel="0" collapsed="false">
      <c r="A60" s="0" t="str">
        <f aca="false">PROPER(F60)</f>
        <v>Blf Passport Given</v>
      </c>
      <c r="B60" s="9" t="s">
        <v>264</v>
      </c>
      <c r="C60" s="9" t="s">
        <v>18</v>
      </c>
      <c r="D60" s="9"/>
      <c r="E60" s="6" t="n">
        <v>67</v>
      </c>
      <c r="F60" s="6" t="s">
        <v>265</v>
      </c>
      <c r="G60" s="6"/>
      <c r="H60" s="7" t="s">
        <v>20</v>
      </c>
      <c r="I60" s="7" t="s">
        <v>21</v>
      </c>
    </row>
    <row r="61" customFormat="false" ht="13.8" hidden="false" customHeight="false" outlineLevel="0" collapsed="false">
      <c r="A61" s="0" t="str">
        <f aca="false">PROPER(F61)</f>
        <v>Date Of Discharge</v>
      </c>
      <c r="B61" s="9" t="s">
        <v>266</v>
      </c>
      <c r="C61" s="9" t="s">
        <v>68</v>
      </c>
      <c r="D61" s="9"/>
      <c r="E61" s="6" t="n">
        <v>68</v>
      </c>
      <c r="F61" s="6" t="s">
        <v>267</v>
      </c>
      <c r="G61" s="6"/>
    </row>
    <row r="62" customFormat="false" ht="13.8" hidden="false" customHeight="false" outlineLevel="0" collapsed="false">
      <c r="A62" s="0" t="str">
        <f aca="false">PROPER(F62)</f>
        <v>Discharge Ward</v>
      </c>
      <c r="B62" s="9" t="s">
        <v>268</v>
      </c>
      <c r="C62" s="9" t="s">
        <v>71</v>
      </c>
      <c r="D62" s="9"/>
      <c r="E62" s="6" t="n">
        <v>69</v>
      </c>
      <c r="F62" s="6" t="s">
        <v>269</v>
      </c>
      <c r="G62" s="6"/>
      <c r="H62" s="0" t="s">
        <v>61</v>
      </c>
      <c r="I62" s="0" t="n">
        <v>15</v>
      </c>
      <c r="J62" s="0" t="n">
        <v>16</v>
      </c>
      <c r="K62" s="0" t="n">
        <v>17</v>
      </c>
      <c r="L62" s="0" t="n">
        <v>20</v>
      </c>
      <c r="M62" s="12" t="s">
        <v>74</v>
      </c>
      <c r="N62" s="0" t="n">
        <v>26</v>
      </c>
      <c r="O62" s="0" t="n">
        <v>27</v>
      </c>
      <c r="P62" s="12" t="s">
        <v>75</v>
      </c>
      <c r="Q62" s="0" t="n">
        <v>29</v>
      </c>
      <c r="R62" s="0" t="n">
        <v>33</v>
      </c>
      <c r="S62" s="0" t="n">
        <v>34</v>
      </c>
    </row>
    <row r="63" customFormat="false" ht="13.8" hidden="false" customHeight="false" outlineLevel="0" collapsed="false">
      <c r="A63" s="0" t="str">
        <f aca="false">PROPER(F63)</f>
        <v>Discharged To</v>
      </c>
      <c r="B63" s="9" t="s">
        <v>270</v>
      </c>
      <c r="C63" s="9" t="s">
        <v>71</v>
      </c>
      <c r="D63" s="9"/>
      <c r="E63" s="6" t="n">
        <v>70</v>
      </c>
      <c r="F63" s="6" t="s">
        <v>271</v>
      </c>
      <c r="G63" s="6"/>
      <c r="H63" s="0" t="s">
        <v>57</v>
      </c>
      <c r="I63" s="11" t="s">
        <v>272</v>
      </c>
      <c r="J63" s="11"/>
      <c r="K63" s="11" t="s">
        <v>63</v>
      </c>
      <c r="L63" s="11"/>
      <c r="M63" s="11" t="s">
        <v>64</v>
      </c>
      <c r="N63" s="11"/>
      <c r="O63" s="12" t="s">
        <v>65</v>
      </c>
      <c r="P63" s="11" t="s">
        <v>273</v>
      </c>
      <c r="Q63" s="11"/>
      <c r="R63" s="12" t="s">
        <v>274</v>
      </c>
      <c r="S63" s="11" t="s">
        <v>66</v>
      </c>
      <c r="T63" s="11"/>
    </row>
    <row r="64" customFormat="false" ht="13.8" hidden="false" customHeight="false" outlineLevel="0" collapsed="false">
      <c r="A64" s="0" t="str">
        <f aca="false">PROPER(F64)</f>
        <v>Discharged Under Care Of:</v>
      </c>
      <c r="B64" s="9" t="s">
        <v>275</v>
      </c>
      <c r="C64" s="9"/>
      <c r="D64" s="9"/>
      <c r="E64" s="6" t="n">
        <v>71</v>
      </c>
      <c r="F64" s="6" t="s">
        <v>276</v>
      </c>
      <c r="G64" s="6"/>
      <c r="H64" s="0" t="s">
        <v>277</v>
      </c>
    </row>
    <row r="65" customFormat="false" ht="13.8" hidden="false" customHeight="false" outlineLevel="0" collapsed="false">
      <c r="A65" s="0" t="str">
        <f aca="false">PROPER(F65)</f>
        <v>Outpatient Follow Up With Copd Nurse</v>
      </c>
      <c r="B65" s="9" t="s">
        <v>278</v>
      </c>
      <c r="C65" s="9" t="s">
        <v>18</v>
      </c>
      <c r="D65" s="9"/>
      <c r="E65" s="6" t="n">
        <v>72</v>
      </c>
      <c r="F65" s="6" t="s">
        <v>279</v>
      </c>
      <c r="G65" s="6"/>
      <c r="H65" s="0" t="s">
        <v>20</v>
      </c>
      <c r="I65" s="0" t="s">
        <v>21</v>
      </c>
    </row>
    <row r="66" customFormat="false" ht="13.8" hidden="false" customHeight="false" outlineLevel="0" collapsed="false">
      <c r="A66" s="0" t="str">
        <f aca="false">PROPER(F66)</f>
        <v>If Op Declined</v>
      </c>
      <c r="B66" s="9" t="s">
        <v>280</v>
      </c>
      <c r="C66" s="9" t="s">
        <v>71</v>
      </c>
      <c r="D66" s="9"/>
      <c r="E66" s="6" t="n">
        <v>73</v>
      </c>
      <c r="F66" s="6" t="s">
        <v>281</v>
      </c>
      <c r="G66" s="6"/>
      <c r="H66" s="11" t="s">
        <v>233</v>
      </c>
      <c r="I66" s="11"/>
      <c r="J66" s="11"/>
      <c r="K66" s="11" t="s">
        <v>282</v>
      </c>
      <c r="L66" s="11"/>
      <c r="M66" s="11"/>
      <c r="N66" s="11" t="s">
        <v>236</v>
      </c>
      <c r="O66" s="11"/>
      <c r="P66" s="11" t="s">
        <v>249</v>
      </c>
      <c r="Q66" s="11"/>
      <c r="R66" s="11"/>
      <c r="S66" s="11" t="s">
        <v>250</v>
      </c>
      <c r="T66" s="11"/>
      <c r="U66" s="11"/>
      <c r="V66" s="11" t="s">
        <v>283</v>
      </c>
      <c r="W66" s="11"/>
      <c r="X66" s="0" t="s">
        <v>284</v>
      </c>
    </row>
    <row r="67" customFormat="false" ht="13.8" hidden="false" customHeight="false" outlineLevel="0" collapsed="false">
      <c r="A67" s="0" t="str">
        <f aca="false">PROPER(F67)</f>
        <v>Outcomes</v>
      </c>
      <c r="B67" s="9" t="s">
        <v>285</v>
      </c>
      <c r="C67" s="9" t="s">
        <v>71</v>
      </c>
      <c r="D67" s="9"/>
      <c r="E67" s="6" t="n">
        <v>74</v>
      </c>
      <c r="F67" s="6" t="s">
        <v>286</v>
      </c>
      <c r="G67" s="6"/>
      <c r="I67" s="11" t="s">
        <v>287</v>
      </c>
      <c r="J67" s="11"/>
      <c r="K67" s="12" t="s">
        <v>274</v>
      </c>
      <c r="L67" s="11" t="s">
        <v>288</v>
      </c>
      <c r="M67" s="11"/>
      <c r="N67" s="11" t="s">
        <v>289</v>
      </c>
      <c r="O67" s="11"/>
      <c r="P67" s="11"/>
      <c r="Q67" s="11"/>
      <c r="R67" s="11" t="s">
        <v>290</v>
      </c>
      <c r="S67" s="11"/>
      <c r="T67" s="11"/>
      <c r="U67" s="11"/>
      <c r="V67" s="11" t="s">
        <v>291</v>
      </c>
      <c r="W67" s="11"/>
      <c r="X67" s="11"/>
      <c r="Y67" s="11"/>
      <c r="Z67" s="11"/>
    </row>
    <row r="68" customFormat="false" ht="13.8" hidden="false" customHeight="false" outlineLevel="0" collapsed="false">
      <c r="A68" s="0" t="str">
        <f aca="false">PROPER(F68)</f>
        <v>Discharge Diagnosis</v>
      </c>
      <c r="B68" s="9" t="s">
        <v>292</v>
      </c>
      <c r="C68" s="9"/>
      <c r="D68" s="9"/>
      <c r="E68" s="6" t="n">
        <v>75</v>
      </c>
      <c r="F68" s="6" t="s">
        <v>293</v>
      </c>
      <c r="G68" s="6"/>
      <c r="H68" s="29" t="s">
        <v>294</v>
      </c>
    </row>
    <row r="69" customFormat="false" ht="13.8" hidden="false" customHeight="false" outlineLevel="0" collapsed="false">
      <c r="A69" s="0" t="str">
        <f aca="false">PROPER(F69)</f>
        <v/>
      </c>
      <c r="B69" s="9"/>
      <c r="C69" s="9"/>
      <c r="D69" s="9"/>
      <c r="E69" s="19" t="s">
        <v>295</v>
      </c>
      <c r="F69" s="19"/>
      <c r="G69" s="19"/>
    </row>
    <row r="70" customFormat="false" ht="13.8" hidden="false" customHeight="false" outlineLevel="0" collapsed="false">
      <c r="A70" s="0" t="str">
        <f aca="false">PROPER(F70)</f>
        <v>Non-Invasive Ventilation (Niv) On This Admission</v>
      </c>
      <c r="B70" s="9" t="s">
        <v>296</v>
      </c>
      <c r="C70" s="9" t="s">
        <v>18</v>
      </c>
      <c r="D70" s="9"/>
      <c r="E70" s="6" t="n">
        <v>76</v>
      </c>
      <c r="F70" s="6" t="s">
        <v>297</v>
      </c>
      <c r="G70" s="6"/>
      <c r="H70" s="7" t="s">
        <v>20</v>
      </c>
      <c r="I70" s="7" t="s">
        <v>21</v>
      </c>
    </row>
    <row r="71" customFormat="false" ht="13.8" hidden="false" customHeight="false" outlineLevel="0" collapsed="false">
      <c r="A71" s="0" t="str">
        <f aca="false">PROPER(F71)</f>
        <v>Discharged With Niv</v>
      </c>
      <c r="B71" s="9" t="s">
        <v>298</v>
      </c>
      <c r="C71" s="9" t="s">
        <v>18</v>
      </c>
      <c r="D71" s="9"/>
      <c r="E71" s="6" t="n">
        <v>77</v>
      </c>
      <c r="F71" s="6" t="s">
        <v>299</v>
      </c>
      <c r="G71" s="6"/>
      <c r="H71" s="7" t="s">
        <v>20</v>
      </c>
      <c r="I71" s="7" t="s">
        <v>21</v>
      </c>
    </row>
    <row r="72" customFormat="false" ht="13.8" hidden="false" customHeight="false" outlineLevel="0" collapsed="false">
      <c r="A72" s="0" t="str">
        <f aca="false">PROPER(F72)</f>
        <v>Niv Used At Home?</v>
      </c>
      <c r="B72" s="9" t="s">
        <v>300</v>
      </c>
      <c r="C72" s="9" t="s">
        <v>18</v>
      </c>
      <c r="D72" s="9"/>
      <c r="E72" s="6" t="n">
        <v>78</v>
      </c>
      <c r="F72" s="6" t="s">
        <v>301</v>
      </c>
      <c r="G72" s="6"/>
      <c r="H72" s="7" t="s">
        <v>20</v>
      </c>
      <c r="I72" s="7" t="s">
        <v>21</v>
      </c>
    </row>
    <row r="73" customFormat="false" ht="13.8" hidden="false" customHeight="false" outlineLevel="0" collapsed="false">
      <c r="A73" s="0" t="str">
        <f aca="false">PROPER(F73)</f>
        <v>Niv Used Long Term</v>
      </c>
      <c r="B73" s="9" t="s">
        <v>302</v>
      </c>
      <c r="C73" s="9" t="s">
        <v>18</v>
      </c>
      <c r="D73" s="9"/>
      <c r="E73" s="6" t="n">
        <v>79</v>
      </c>
      <c r="F73" s="6" t="s">
        <v>303</v>
      </c>
      <c r="G73" s="6"/>
      <c r="H73" s="7" t="s">
        <v>20</v>
      </c>
      <c r="I73" s="7" t="s">
        <v>21</v>
      </c>
    </row>
    <row r="74" customFormat="false" ht="13.8" hidden="false" customHeight="false" outlineLevel="0" collapsed="false">
      <c r="A74" s="0" t="str">
        <f aca="false">PROPER(F74)</f>
        <v/>
      </c>
      <c r="B74" s="9"/>
      <c r="C74" s="9"/>
      <c r="D74" s="9"/>
      <c r="E74" s="19" t="s">
        <v>304</v>
      </c>
      <c r="F74" s="19"/>
      <c r="G74" s="19"/>
    </row>
    <row r="75" customFormat="false" ht="13.8" hidden="false" customHeight="false" outlineLevel="0" collapsed="false">
      <c r="A75" s="0" t="str">
        <f aca="false">PROPER(F75)</f>
        <v>Reasons For Re-Admission</v>
      </c>
      <c r="B75" s="9" t="s">
        <v>305</v>
      </c>
      <c r="C75" s="9" t="s">
        <v>71</v>
      </c>
      <c r="D75" s="9"/>
      <c r="E75" s="6" t="n">
        <v>80</v>
      </c>
      <c r="F75" s="6" t="s">
        <v>306</v>
      </c>
      <c r="G75" s="6"/>
      <c r="H75" s="12" t="s">
        <v>307</v>
      </c>
      <c r="I75" s="12"/>
      <c r="J75" s="0" t="s">
        <v>308</v>
      </c>
      <c r="M75" s="0" t="s">
        <v>309</v>
      </c>
    </row>
    <row r="76" customFormat="false" ht="13.8" hidden="false" customHeight="false" outlineLevel="0" collapsed="false">
      <c r="A76" s="0" t="str">
        <f aca="false">PROPER(F76)</f>
        <v>Falls In The Last 12 Months</v>
      </c>
      <c r="B76" s="9" t="s">
        <v>310</v>
      </c>
      <c r="C76" s="9" t="s">
        <v>71</v>
      </c>
      <c r="D76" s="9"/>
      <c r="E76" s="6" t="n">
        <v>81</v>
      </c>
      <c r="F76" s="6" t="s">
        <v>311</v>
      </c>
      <c r="G76" s="6"/>
      <c r="H76" s="7" t="s">
        <v>20</v>
      </c>
      <c r="I76" s="7" t="s">
        <v>21</v>
      </c>
      <c r="J76" s="7" t="s">
        <v>312</v>
      </c>
    </row>
    <row r="77" customFormat="false" ht="13.8" hidden="false" customHeight="false" outlineLevel="0" collapsed="false">
      <c r="A77" s="0" t="str">
        <f aca="false">PROPER(F77)</f>
        <v>Alcohol Consumption</v>
      </c>
      <c r="B77" s="9" t="s">
        <v>313</v>
      </c>
      <c r="D77" s="9" t="s">
        <v>314</v>
      </c>
      <c r="E77" s="6" t="n">
        <v>82</v>
      </c>
      <c r="F77" s="6" t="s">
        <v>315</v>
      </c>
      <c r="G77" s="6"/>
      <c r="H77" s="0" t="s">
        <v>316</v>
      </c>
      <c r="I77" s="32" t="s">
        <v>317</v>
      </c>
    </row>
    <row r="78" customFormat="false" ht="13.8" hidden="false" customHeight="false" outlineLevel="0" collapsed="false">
      <c r="A78" s="0" t="str">
        <f aca="false">PROPER(F78)</f>
        <v>Height</v>
      </c>
      <c r="B78" s="9" t="s">
        <v>318</v>
      </c>
      <c r="C78" s="9" t="s">
        <v>172</v>
      </c>
      <c r="D78" s="9"/>
      <c r="E78" s="6" t="n">
        <v>83</v>
      </c>
      <c r="F78" s="6" t="s">
        <v>319</v>
      </c>
      <c r="G78" s="6"/>
      <c r="H78" s="0" t="s">
        <v>320</v>
      </c>
    </row>
    <row r="79" customFormat="false" ht="13.8" hidden="false" customHeight="false" outlineLevel="0" collapsed="false">
      <c r="A79" s="0" t="str">
        <f aca="false">PROPER(F79)</f>
        <v>Weight</v>
      </c>
      <c r="B79" s="9" t="s">
        <v>321</v>
      </c>
      <c r="C79" s="9" t="s">
        <v>172</v>
      </c>
      <c r="D79" s="9"/>
      <c r="E79" s="6" t="n">
        <v>84</v>
      </c>
      <c r="F79" s="6" t="s">
        <v>322</v>
      </c>
      <c r="G79" s="6"/>
      <c r="H79" s="0" t="s">
        <v>323</v>
      </c>
    </row>
    <row r="80" customFormat="false" ht="13.8" hidden="false" customHeight="false" outlineLevel="0" collapsed="false">
      <c r="A80" s="0" t="str">
        <f aca="false">PROPER(F80)</f>
        <v>Bmi</v>
      </c>
      <c r="B80" s="9" t="s">
        <v>324</v>
      </c>
      <c r="C80" s="9" t="s">
        <v>172</v>
      </c>
      <c r="D80" s="9"/>
      <c r="E80" s="6" t="n">
        <v>85</v>
      </c>
      <c r="F80" s="6" t="s">
        <v>325</v>
      </c>
      <c r="G80" s="6"/>
      <c r="H80" s="0" t="s">
        <v>326</v>
      </c>
    </row>
    <row r="81" customFormat="false" ht="13.8" hidden="false" customHeight="false" outlineLevel="0" collapsed="false">
      <c r="A81" s="0" t="str">
        <f aca="false">PROPER(F81)</f>
        <v>Follow Up Consultant</v>
      </c>
      <c r="B81" s="9" t="s">
        <v>327</v>
      </c>
      <c r="C81" s="9" t="s">
        <v>18</v>
      </c>
      <c r="D81" s="9"/>
      <c r="E81" s="6" t="n">
        <v>86</v>
      </c>
      <c r="F81" s="6" t="s">
        <v>328</v>
      </c>
      <c r="G81" s="6"/>
      <c r="H81" s="7" t="s">
        <v>20</v>
      </c>
      <c r="I81" s="7" t="s">
        <v>21</v>
      </c>
    </row>
    <row r="82" customFormat="false" ht="13.8" hidden="false" customHeight="false" outlineLevel="0" collapsed="false">
      <c r="A82" s="0" t="str">
        <f aca="false">PROPER(F82)</f>
        <v>Number Of Calls </v>
      </c>
      <c r="B82" s="9" t="s">
        <v>329</v>
      </c>
      <c r="C82" s="9" t="s">
        <v>172</v>
      </c>
      <c r="D82" s="9"/>
      <c r="E82" s="6" t="n">
        <v>87</v>
      </c>
      <c r="F82" s="6" t="s">
        <v>330</v>
      </c>
      <c r="G82" s="6"/>
    </row>
    <row r="83" customFormat="false" ht="13.8" hidden="false" customHeight="false" outlineLevel="0" collapsed="false">
      <c r="A83" s="0" t="str">
        <f aca="false">PROPER(F83)</f>
        <v>Decaf Score</v>
      </c>
      <c r="B83" s="9" t="s">
        <v>331</v>
      </c>
      <c r="C83" s="9" t="s">
        <v>172</v>
      </c>
      <c r="D83" s="9"/>
      <c r="E83" s="6" t="n">
        <v>88</v>
      </c>
      <c r="F83" s="6" t="s">
        <v>332</v>
      </c>
      <c r="G83" s="6"/>
      <c r="H83" s="0" t="n">
        <v>0</v>
      </c>
      <c r="I83" s="0" t="n">
        <v>1</v>
      </c>
      <c r="J83" s="0" t="n">
        <v>2</v>
      </c>
      <c r="K83" s="0" t="n">
        <v>3</v>
      </c>
      <c r="L83" s="0" t="n">
        <v>4</v>
      </c>
      <c r="M83" s="0" t="n">
        <v>5</v>
      </c>
    </row>
    <row r="84" customFormat="false" ht="13.8" hidden="false" customHeight="false" outlineLevel="0" collapsed="false">
      <c r="A84" s="0" t="str">
        <f aca="false">PROPER(F84)</f>
        <v>Presenting Problems</v>
      </c>
      <c r="B84" s="9" t="s">
        <v>333</v>
      </c>
      <c r="C84" s="9" t="s">
        <v>88</v>
      </c>
      <c r="D84" s="9"/>
      <c r="E84" s="6" t="n">
        <v>89</v>
      </c>
      <c r="F84" s="6" t="s">
        <v>334</v>
      </c>
      <c r="G84" s="6"/>
      <c r="H84" s="0" t="s">
        <v>335</v>
      </c>
      <c r="I84" s="7" t="s">
        <v>336</v>
      </c>
      <c r="J84" s="8" t="s">
        <v>337</v>
      </c>
      <c r="K84" s="8"/>
      <c r="L84" s="0" t="s">
        <v>338</v>
      </c>
      <c r="M84" s="0" t="s">
        <v>339</v>
      </c>
      <c r="N84" s="11" t="s">
        <v>340</v>
      </c>
      <c r="O84" s="11"/>
      <c r="P84" s="11"/>
      <c r="Q84" s="11" t="s">
        <v>341</v>
      </c>
      <c r="R84" s="11"/>
      <c r="S84" s="11"/>
      <c r="T84" s="11" t="s">
        <v>342</v>
      </c>
      <c r="U84" s="11"/>
      <c r="V84" s="11"/>
      <c r="W84" s="11"/>
      <c r="X84" s="11" t="s">
        <v>343</v>
      </c>
      <c r="Y84" s="11"/>
    </row>
    <row r="85" customFormat="false" ht="13.8" hidden="false" customHeight="false" outlineLevel="0" collapsed="false">
      <c r="A85" s="0" t="str">
        <f aca="false">PROPER(F85)</f>
        <v/>
      </c>
      <c r="B85" s="9"/>
      <c r="C85" s="9"/>
      <c r="D85" s="9"/>
      <c r="E85" s="19" t="s">
        <v>344</v>
      </c>
      <c r="F85" s="19"/>
      <c r="G85" s="19"/>
    </row>
    <row r="86" customFormat="false" ht="13.8" hidden="false" customHeight="false" outlineLevel="0" collapsed="false">
      <c r="A86" s="0" t="str">
        <f aca="false">PROPER(F86)</f>
        <v>Eosinophils</v>
      </c>
      <c r="B86" s="9" t="s">
        <v>345</v>
      </c>
      <c r="C86" s="9"/>
      <c r="D86" s="9"/>
      <c r="E86" s="6" t="n">
        <v>90</v>
      </c>
      <c r="F86" s="6" t="s">
        <v>346</v>
      </c>
      <c r="G86" s="6"/>
    </row>
    <row r="87" customFormat="false" ht="13.8" hidden="false" customHeight="false" outlineLevel="0" collapsed="false">
      <c r="A87" s="0" t="str">
        <f aca="false">PROPER(F87)</f>
        <v>Neutrophils</v>
      </c>
      <c r="B87" s="9" t="s">
        <v>347</v>
      </c>
      <c r="C87" s="9"/>
      <c r="D87" s="9"/>
      <c r="E87" s="6" t="n">
        <v>91</v>
      </c>
      <c r="F87" s="6" t="s">
        <v>348</v>
      </c>
      <c r="G87" s="6"/>
    </row>
    <row r="88" customFormat="false" ht="13.8" hidden="false" customHeight="false" outlineLevel="0" collapsed="false">
      <c r="A88" s="0" t="str">
        <f aca="false">PROPER(F88)</f>
        <v>Wcc</v>
      </c>
      <c r="B88" s="9" t="s">
        <v>349</v>
      </c>
      <c r="C88" s="9"/>
      <c r="D88" s="9"/>
      <c r="E88" s="6" t="n">
        <v>92</v>
      </c>
      <c r="F88" s="6" t="s">
        <v>350</v>
      </c>
      <c r="G88" s="6"/>
    </row>
    <row r="89" customFormat="false" ht="13.8" hidden="false" customHeight="false" outlineLevel="0" collapsed="false">
      <c r="A89" s="0" t="str">
        <f aca="false">PROPER(F89)</f>
        <v>Crp</v>
      </c>
      <c r="B89" s="9" t="s">
        <v>351</v>
      </c>
      <c r="C89" s="9"/>
      <c r="D89" s="9"/>
      <c r="E89" s="6" t="n">
        <v>93</v>
      </c>
      <c r="F89" s="6" t="s">
        <v>352</v>
      </c>
      <c r="G89" s="6"/>
    </row>
    <row r="90" customFormat="false" ht="13.8" hidden="false" customHeight="false" outlineLevel="0" collapsed="false">
      <c r="A90" s="0" t="str">
        <f aca="false">PROPER(F90)</f>
        <v/>
      </c>
      <c r="B90" s="9"/>
      <c r="C90" s="9"/>
      <c r="D90" s="9"/>
      <c r="E90" s="19"/>
      <c r="F90" s="19"/>
      <c r="G90" s="19"/>
    </row>
    <row r="91" customFormat="false" ht="13.8" hidden="false" customHeight="false" outlineLevel="0" collapsed="false">
      <c r="A91" s="0" t="str">
        <f aca="false">PROPER(F91)</f>
        <v>O2 Sat %</v>
      </c>
      <c r="B91" s="9" t="s">
        <v>353</v>
      </c>
      <c r="C91" s="9" t="s">
        <v>172</v>
      </c>
      <c r="D91" s="9"/>
      <c r="E91" s="6" t="n">
        <v>94</v>
      </c>
      <c r="F91" s="6" t="s">
        <v>354</v>
      </c>
      <c r="G91" s="6"/>
    </row>
    <row r="92" customFormat="false" ht="13.8" hidden="false" customHeight="false" outlineLevel="0" collapsed="false">
      <c r="A92" s="0" t="str">
        <f aca="false">PROPER(F92)</f>
        <v>O2 User</v>
      </c>
      <c r="B92" s="9" t="s">
        <v>355</v>
      </c>
      <c r="C92" s="9" t="s">
        <v>4</v>
      </c>
      <c r="D92" s="9"/>
      <c r="E92" s="6" t="n">
        <v>95</v>
      </c>
      <c r="F92" s="6" t="s">
        <v>356</v>
      </c>
      <c r="G92" s="6"/>
      <c r="H92" s="12" t="s">
        <v>20</v>
      </c>
      <c r="I92" s="12" t="s">
        <v>21</v>
      </c>
      <c r="J92" s="12" t="s">
        <v>357</v>
      </c>
      <c r="K92" s="11" t="s">
        <v>358</v>
      </c>
      <c r="L92" s="11"/>
      <c r="M92" s="11" t="s">
        <v>359</v>
      </c>
      <c r="N92" s="11"/>
    </row>
    <row r="93" customFormat="false" ht="13.8" hidden="false" customHeight="false" outlineLevel="0" collapsed="false">
      <c r="A93" s="0" t="str">
        <f aca="false">PROPER(F93)</f>
        <v/>
      </c>
      <c r="B93" s="9"/>
      <c r="C93" s="9"/>
      <c r="D93" s="9"/>
      <c r="E93" s="19"/>
      <c r="F93" s="19"/>
      <c r="G93" s="19"/>
    </row>
    <row r="94" customFormat="false" ht="13.8" hidden="false" customHeight="false" outlineLevel="0" collapsed="false">
      <c r="A94" s="0" t="str">
        <f aca="false">PROPER(F94)</f>
        <v>Exercise Behaviour</v>
      </c>
      <c r="B94" s="9" t="s">
        <v>360</v>
      </c>
      <c r="C94" s="9" t="s">
        <v>71</v>
      </c>
      <c r="D94" s="9"/>
      <c r="E94" s="6" t="n">
        <v>96</v>
      </c>
      <c r="F94" s="6" t="s">
        <v>361</v>
      </c>
      <c r="G94" s="6"/>
      <c r="H94" s="16" t="s">
        <v>362</v>
      </c>
      <c r="I94" s="16"/>
      <c r="L94" s="16" t="s">
        <v>363</v>
      </c>
      <c r="M94" s="16"/>
      <c r="N94" s="16"/>
      <c r="P94" s="16" t="s">
        <v>364</v>
      </c>
      <c r="Q94" s="16"/>
      <c r="R94" s="16"/>
      <c r="S94" s="16"/>
      <c r="T94" s="16"/>
      <c r="U94" s="11" t="s">
        <v>365</v>
      </c>
      <c r="V94" s="11"/>
      <c r="W94" s="11"/>
      <c r="Y94" s="0" t="s">
        <v>11</v>
      </c>
    </row>
    <row r="95" customFormat="false" ht="13.8" hidden="false" customHeight="false" outlineLevel="0" collapsed="false">
      <c r="A95" s="0" t="str">
        <f aca="false">PROPER(F95)</f>
        <v>Do You Exercise For 10 Minute Bouts X5 Week</v>
      </c>
      <c r="B95" s="9" t="s">
        <v>366</v>
      </c>
      <c r="C95" s="9" t="s">
        <v>18</v>
      </c>
      <c r="D95" s="9"/>
      <c r="E95" s="6" t="n">
        <v>97</v>
      </c>
      <c r="F95" s="6" t="s">
        <v>367</v>
      </c>
      <c r="G95" s="6"/>
      <c r="H95" s="0" t="s">
        <v>20</v>
      </c>
      <c r="I95" s="0" t="s">
        <v>21</v>
      </c>
      <c r="L95" s="16"/>
      <c r="M95" s="16"/>
      <c r="N95" s="16"/>
      <c r="P95" s="16"/>
      <c r="Q95" s="16"/>
      <c r="R95" s="16"/>
      <c r="S95" s="16"/>
      <c r="T95" s="16"/>
      <c r="U95" s="12"/>
      <c r="V95" s="12"/>
      <c r="W95" s="12"/>
    </row>
    <row r="96" customFormat="false" ht="13.8" hidden="false" customHeight="false" outlineLevel="0" collapsed="false">
      <c r="A96" s="0" t="str">
        <f aca="false">PROPER(F96)</f>
        <v/>
      </c>
      <c r="B96" s="9"/>
      <c r="C96" s="9"/>
      <c r="D96" s="9"/>
      <c r="E96" s="19" t="s">
        <v>368</v>
      </c>
      <c r="F96" s="19"/>
      <c r="G96" s="19"/>
    </row>
    <row r="97" customFormat="false" ht="13.8" hidden="false" customHeight="false" outlineLevel="0" collapsed="false">
      <c r="A97" s="0" t="str">
        <f aca="false">PROPER(F97)</f>
        <v>Rescue Pack</v>
      </c>
      <c r="B97" s="9" t="s">
        <v>369</v>
      </c>
      <c r="C97" s="9" t="s">
        <v>18</v>
      </c>
      <c r="D97" s="9"/>
      <c r="E97" s="6" t="n">
        <v>98</v>
      </c>
      <c r="F97" s="6" t="s">
        <v>370</v>
      </c>
      <c r="G97" s="6"/>
      <c r="H97" s="0" t="s">
        <v>20</v>
      </c>
      <c r="I97" s="0" t="s">
        <v>21</v>
      </c>
    </row>
    <row r="98" customFormat="false" ht="13.8" hidden="false" customHeight="false" outlineLevel="0" collapsed="false">
      <c r="A98" s="0" t="str">
        <f aca="false">PROPER(F98)</f>
        <v>Rescue Bag</v>
      </c>
      <c r="B98" s="9" t="s">
        <v>371</v>
      </c>
      <c r="C98" s="9" t="s">
        <v>18</v>
      </c>
      <c r="D98" s="9"/>
      <c r="E98" s="6" t="n">
        <v>99</v>
      </c>
      <c r="F98" s="6" t="s">
        <v>372</v>
      </c>
      <c r="G98" s="6"/>
      <c r="H98" s="0" t="s">
        <v>20</v>
      </c>
      <c r="I98" s="0" t="s">
        <v>21</v>
      </c>
    </row>
    <row r="99" customFormat="false" ht="13.8" hidden="false" customHeight="false" outlineLevel="0" collapsed="false">
      <c r="A99" s="0" t="str">
        <f aca="false">PROPER(F99)</f>
        <v>Early Discharge</v>
      </c>
      <c r="B99" s="9" t="s">
        <v>373</v>
      </c>
      <c r="C99" s="9" t="s">
        <v>18</v>
      </c>
      <c r="D99" s="9"/>
      <c r="E99" s="6" t="n">
        <v>100</v>
      </c>
      <c r="F99" s="6" t="s">
        <v>374</v>
      </c>
      <c r="G99" s="6"/>
      <c r="H99" s="0" t="s">
        <v>20</v>
      </c>
      <c r="I99" s="0" t="s">
        <v>21</v>
      </c>
    </row>
    <row r="100" customFormat="false" ht="13.8" hidden="false" customHeight="false" outlineLevel="0" collapsed="false">
      <c r="A100" s="0" t="str">
        <f aca="false">PROPER(F100)</f>
        <v>Supported Discharge</v>
      </c>
      <c r="B100" s="9" t="s">
        <v>375</v>
      </c>
      <c r="C100" s="9" t="s">
        <v>18</v>
      </c>
      <c r="D100" s="9"/>
      <c r="E100" s="6" t="n">
        <v>101</v>
      </c>
      <c r="F100" s="6" t="s">
        <v>376</v>
      </c>
      <c r="G100" s="6"/>
      <c r="H100" s="0" t="s">
        <v>20</v>
      </c>
      <c r="I100" s="0" t="s">
        <v>21</v>
      </c>
    </row>
    <row r="101" customFormat="false" ht="13.8" hidden="false" customHeight="false" outlineLevel="0" collapsed="false">
      <c r="A101" s="0" t="str">
        <f aca="false">PROPER(F101)</f>
        <v>Admission Avoidance</v>
      </c>
      <c r="B101" s="9" t="s">
        <v>377</v>
      </c>
      <c r="C101" s="9" t="s">
        <v>71</v>
      </c>
      <c r="D101" s="9"/>
      <c r="E101" s="6" t="n">
        <v>102</v>
      </c>
      <c r="F101" s="6" t="s">
        <v>378</v>
      </c>
      <c r="G101" s="6"/>
      <c r="H101" s="33"/>
      <c r="I101" s="33" t="s">
        <v>379</v>
      </c>
      <c r="J101" s="0" t="s">
        <v>380</v>
      </c>
      <c r="L101" s="0" t="s">
        <v>96</v>
      </c>
      <c r="M101" s="0" t="s">
        <v>381</v>
      </c>
    </row>
    <row r="102" customFormat="false" ht="13.8" hidden="false" customHeight="false" outlineLevel="0" collapsed="false">
      <c r="A102" s="0" t="str">
        <f aca="false">PROPER(F102)</f>
        <v>Name Of Nurse/Ahp Phone Call </v>
      </c>
      <c r="B102" s="9" t="s">
        <v>382</v>
      </c>
      <c r="C102" s="9" t="s">
        <v>71</v>
      </c>
      <c r="D102" s="9"/>
      <c r="E102" s="6" t="n">
        <v>103</v>
      </c>
      <c r="F102" s="6" t="s">
        <v>383</v>
      </c>
      <c r="G102" s="6"/>
      <c r="H102" s="11" t="s">
        <v>176</v>
      </c>
      <c r="I102" s="11"/>
      <c r="J102" s="11" t="s">
        <v>177</v>
      </c>
      <c r="K102" s="11"/>
      <c r="L102" s="11" t="s">
        <v>178</v>
      </c>
      <c r="M102" s="11"/>
      <c r="N102" s="11" t="s">
        <v>179</v>
      </c>
      <c r="O102" s="11"/>
      <c r="P102" s="11" t="s">
        <v>180</v>
      </c>
      <c r="Q102" s="11"/>
      <c r="R102" s="11" t="s">
        <v>181</v>
      </c>
      <c r="S102" s="11"/>
      <c r="T102" s="11"/>
      <c r="U102" s="11" t="s">
        <v>182</v>
      </c>
      <c r="V102" s="11"/>
      <c r="W102" s="11" t="s">
        <v>183</v>
      </c>
      <c r="X102" s="11"/>
    </row>
    <row r="103" customFormat="false" ht="13.8" hidden="false" customHeight="false" outlineLevel="0" collapsed="false">
      <c r="A103" s="0" t="str">
        <f aca="false">PROPER(F103)</f>
        <v/>
      </c>
      <c r="B103" s="9"/>
      <c r="C103" s="9"/>
      <c r="D103" s="9"/>
      <c r="E103" s="6"/>
      <c r="F103" s="6"/>
      <c r="G103" s="6"/>
      <c r="H103" s="11" t="s">
        <v>184</v>
      </c>
      <c r="I103" s="11"/>
      <c r="J103" s="11" t="s">
        <v>185</v>
      </c>
      <c r="K103" s="11"/>
      <c r="L103" s="11" t="s">
        <v>186</v>
      </c>
      <c r="M103" s="11"/>
      <c r="N103" s="11" t="s">
        <v>187</v>
      </c>
      <c r="O103" s="11"/>
      <c r="P103" s="11" t="s">
        <v>188</v>
      </c>
      <c r="Q103" s="11"/>
      <c r="R103" s="11" t="s">
        <v>189</v>
      </c>
      <c r="S103" s="11"/>
      <c r="T103" s="11" t="s">
        <v>190</v>
      </c>
      <c r="U103" s="11"/>
      <c r="V103" s="11" t="s">
        <v>191</v>
      </c>
      <c r="W103" s="11"/>
    </row>
    <row r="104" customFormat="false" ht="13.8" hidden="false" customHeight="false" outlineLevel="0" collapsed="false">
      <c r="A104" s="0" t="str">
        <f aca="false">PROPER(F104)</f>
        <v>Outcome Of Follow Up Phone Call</v>
      </c>
      <c r="B104" s="9" t="s">
        <v>384</v>
      </c>
      <c r="C104" s="9" t="s">
        <v>4</v>
      </c>
      <c r="D104" s="9"/>
      <c r="E104" s="6" t="n">
        <v>104</v>
      </c>
      <c r="F104" s="6" t="s">
        <v>385</v>
      </c>
      <c r="G104" s="6"/>
      <c r="H104" s="11" t="s">
        <v>386</v>
      </c>
      <c r="I104" s="11"/>
      <c r="J104" s="11" t="s">
        <v>387</v>
      </c>
      <c r="K104" s="11"/>
      <c r="L104" s="11" t="s">
        <v>379</v>
      </c>
      <c r="M104" s="11"/>
    </row>
    <row r="105" customFormat="false" ht="13.8" hidden="false" customHeight="false" outlineLevel="0" collapsed="false">
      <c r="A105" s="0" t="str">
        <f aca="false">PROPER(F105)</f>
        <v>Reason For Declining Pr Referral </v>
      </c>
      <c r="B105" s="9" t="s">
        <v>388</v>
      </c>
      <c r="C105" s="9" t="s">
        <v>71</v>
      </c>
      <c r="D105" s="9"/>
      <c r="E105" s="6" t="n">
        <v>105</v>
      </c>
      <c r="F105" s="6" t="s">
        <v>389</v>
      </c>
      <c r="G105" s="6"/>
      <c r="H105" s="11" t="s">
        <v>390</v>
      </c>
      <c r="I105" s="11"/>
      <c r="J105" s="12" t="s">
        <v>391</v>
      </c>
      <c r="K105" s="11" t="s">
        <v>392</v>
      </c>
      <c r="L105" s="11"/>
      <c r="M105" s="11" t="s">
        <v>393</v>
      </c>
      <c r="N105" s="11"/>
      <c r="O105" s="11"/>
      <c r="P105" s="11" t="s">
        <v>394</v>
      </c>
      <c r="Q105" s="11"/>
      <c r="R105" s="11" t="s">
        <v>283</v>
      </c>
      <c r="S105" s="11"/>
      <c r="T105" s="11"/>
    </row>
    <row r="106" customFormat="false" ht="13.8" hidden="false" customHeight="false" outlineLevel="0" collapsed="false">
      <c r="A106" s="0" t="str">
        <f aca="false">PROPER(F106)</f>
        <v>Length Of Follow Up Phone Call</v>
      </c>
      <c r="B106" s="9" t="s">
        <v>395</v>
      </c>
      <c r="C106" s="9" t="s">
        <v>172</v>
      </c>
      <c r="D106" s="9"/>
      <c r="E106" s="6" t="n">
        <v>106</v>
      </c>
      <c r="F106" s="6" t="s">
        <v>396</v>
      </c>
      <c r="G106" s="6"/>
    </row>
    <row r="107" customFormat="false" ht="13.8" hidden="false" customHeight="false" outlineLevel="0" collapsed="false">
      <c r="A107" s="0" t="str">
        <f aca="false">PROPER(F107)</f>
        <v>Number Of Phone Calls To Patients</v>
      </c>
      <c r="B107" s="9" t="s">
        <v>397</v>
      </c>
      <c r="C107" s="9" t="s">
        <v>172</v>
      </c>
      <c r="D107" s="9"/>
      <c r="E107" s="6" t="n">
        <v>107</v>
      </c>
      <c r="F107" s="6" t="s">
        <v>398</v>
      </c>
      <c r="G107" s="6"/>
    </row>
    <row r="108" customFormat="false" ht="13.8" hidden="false" customHeight="false" outlineLevel="0" collapsed="false">
      <c r="A108" s="0" t="str">
        <f aca="false">PROPER(F108)</f>
        <v>Number Of Phone Calls To Gp</v>
      </c>
      <c r="B108" s="9" t="s">
        <v>399</v>
      </c>
      <c r="C108" s="9" t="s">
        <v>172</v>
      </c>
      <c r="D108" s="9"/>
      <c r="E108" s="6" t="n">
        <v>108</v>
      </c>
      <c r="F108" s="6" t="s">
        <v>400</v>
      </c>
      <c r="G108" s="6"/>
    </row>
    <row r="109" customFormat="false" ht="13.8" hidden="false" customHeight="false" outlineLevel="0" collapsed="false">
      <c r="A109" s="0" t="str">
        <f aca="false">PROPER(F109)</f>
        <v>Onward Referrals</v>
      </c>
      <c r="B109" s="9" t="s">
        <v>401</v>
      </c>
      <c r="C109" s="9" t="s">
        <v>71</v>
      </c>
      <c r="D109" s="9"/>
      <c r="E109" s="6" t="n">
        <v>109</v>
      </c>
      <c r="F109" s="6" t="s">
        <v>402</v>
      </c>
      <c r="G109" s="6"/>
      <c r="H109" s="11" t="s">
        <v>403</v>
      </c>
      <c r="I109" s="11"/>
      <c r="J109" s="12" t="s">
        <v>404</v>
      </c>
      <c r="K109" s="11" t="s">
        <v>405</v>
      </c>
      <c r="L109" s="11"/>
      <c r="M109" s="11" t="s">
        <v>406</v>
      </c>
      <c r="N109" s="11"/>
      <c r="O109" s="11" t="s">
        <v>407</v>
      </c>
      <c r="P109" s="11"/>
      <c r="Q109" s="12" t="s">
        <v>96</v>
      </c>
      <c r="R109" s="12" t="s">
        <v>408</v>
      </c>
      <c r="S109" s="11" t="s">
        <v>409</v>
      </c>
      <c r="T109" s="11"/>
    </row>
    <row r="110" customFormat="false" ht="13.8" hidden="false" customHeight="false" outlineLevel="0" collapsed="false">
      <c r="A110" s="0" t="str">
        <f aca="false">PROPER(F110)</f>
        <v/>
      </c>
      <c r="B110" s="9"/>
      <c r="C110" s="9"/>
      <c r="D110" s="9"/>
      <c r="E110" s="19" t="s">
        <v>410</v>
      </c>
      <c r="F110" s="19"/>
      <c r="G110" s="19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</row>
    <row r="111" customFormat="false" ht="13.8" hidden="false" customHeight="false" outlineLevel="0" collapsed="false">
      <c r="A111" s="0" t="str">
        <f aca="false">PROPER(F111)</f>
        <v>1 Day Phone Call</v>
      </c>
      <c r="B111" s="9" t="s">
        <v>411</v>
      </c>
      <c r="C111" s="9"/>
      <c r="D111" s="9"/>
      <c r="E111" s="6" t="n">
        <v>110</v>
      </c>
      <c r="F111" s="6" t="s">
        <v>412</v>
      </c>
      <c r="G111" s="6"/>
      <c r="H111" s="0" t="s">
        <v>20</v>
      </c>
      <c r="I111" s="7" t="s">
        <v>21</v>
      </c>
    </row>
    <row r="112" customFormat="false" ht="13.8" hidden="false" customHeight="false" outlineLevel="0" collapsed="false">
      <c r="A112" s="0" t="str">
        <f aca="false">PROPER(F112)</f>
        <v>Length Of  Call</v>
      </c>
      <c r="B112" s="9" t="s">
        <v>413</v>
      </c>
      <c r="C112" s="9"/>
      <c r="D112" s="9"/>
      <c r="E112" s="6" t="n">
        <v>111</v>
      </c>
      <c r="F112" s="6" t="s">
        <v>414</v>
      </c>
      <c r="G112" s="6"/>
      <c r="H112" s="0" t="s">
        <v>415</v>
      </c>
    </row>
    <row r="113" customFormat="false" ht="13.8" hidden="false" customHeight="false" outlineLevel="0" collapsed="false">
      <c r="A113" s="0" t="str">
        <f aca="false">PROPER(F113)</f>
        <v>Attempts</v>
      </c>
      <c r="B113" s="9" t="s">
        <v>416</v>
      </c>
      <c r="C113" s="9"/>
      <c r="D113" s="9"/>
      <c r="E113" s="6" t="n">
        <v>112</v>
      </c>
      <c r="F113" s="6" t="s">
        <v>417</v>
      </c>
      <c r="G113" s="6"/>
    </row>
    <row r="114" customFormat="false" ht="13.8" hidden="false" customHeight="false" outlineLevel="0" collapsed="false">
      <c r="A114" s="0" t="str">
        <f aca="false">PROPER(F114)</f>
        <v>Nurse</v>
      </c>
      <c r="B114" s="9" t="s">
        <v>418</v>
      </c>
      <c r="C114" s="9"/>
      <c r="D114" s="9"/>
      <c r="E114" s="6" t="n">
        <v>113</v>
      </c>
      <c r="F114" s="6" t="s">
        <v>419</v>
      </c>
      <c r="G114" s="6"/>
      <c r="H114" s="11" t="s">
        <v>176</v>
      </c>
      <c r="I114" s="11"/>
      <c r="J114" s="11" t="s">
        <v>177</v>
      </c>
      <c r="K114" s="11"/>
      <c r="L114" s="11" t="s">
        <v>178</v>
      </c>
      <c r="M114" s="11"/>
      <c r="N114" s="11" t="s">
        <v>179</v>
      </c>
      <c r="O114" s="11"/>
      <c r="P114" s="11" t="s">
        <v>180</v>
      </c>
      <c r="Q114" s="11"/>
      <c r="R114" s="11" t="s">
        <v>181</v>
      </c>
      <c r="S114" s="11"/>
      <c r="T114" s="11"/>
    </row>
    <row r="115" customFormat="false" ht="13.8" hidden="false" customHeight="false" outlineLevel="0" collapsed="false">
      <c r="A115" s="0" t="str">
        <f aca="false">PROPER(F115)</f>
        <v/>
      </c>
      <c r="B115" s="9"/>
      <c r="C115" s="9"/>
      <c r="D115" s="9"/>
      <c r="E115" s="19" t="s">
        <v>420</v>
      </c>
      <c r="F115" s="19"/>
      <c r="G115" s="19"/>
    </row>
    <row r="116" customFormat="false" ht="13.8" hidden="false" customHeight="false" outlineLevel="0" collapsed="false">
      <c r="A116" s="0" t="str">
        <f aca="false">PROPER(F116)</f>
        <v>5 Day Phone Call</v>
      </c>
      <c r="B116" s="9" t="s">
        <v>421</v>
      </c>
      <c r="C116" s="9"/>
      <c r="D116" s="9"/>
      <c r="E116" s="6" t="n">
        <v>114</v>
      </c>
      <c r="F116" s="6" t="s">
        <v>420</v>
      </c>
      <c r="G116" s="6"/>
      <c r="H116" s="0" t="s">
        <v>20</v>
      </c>
      <c r="I116" s="7" t="s">
        <v>21</v>
      </c>
    </row>
    <row r="117" customFormat="false" ht="13.8" hidden="false" customHeight="false" outlineLevel="0" collapsed="false">
      <c r="A117" s="0" t="str">
        <f aca="false">PROPER(F117)</f>
        <v>Length Of 5 Day Call</v>
      </c>
      <c r="B117" s="9" t="s">
        <v>422</v>
      </c>
      <c r="C117" s="9"/>
      <c r="D117" s="9"/>
      <c r="E117" s="6" t="n">
        <v>115</v>
      </c>
      <c r="F117" s="6" t="s">
        <v>423</v>
      </c>
      <c r="G117" s="6"/>
      <c r="H117" s="0" t="s">
        <v>415</v>
      </c>
    </row>
    <row r="118" customFormat="false" ht="13.8" hidden="false" customHeight="false" outlineLevel="0" collapsed="false">
      <c r="A118" s="0" t="str">
        <f aca="false">PROPER(F118)</f>
        <v>Attempts</v>
      </c>
      <c r="B118" s="9" t="s">
        <v>416</v>
      </c>
      <c r="C118" s="9"/>
      <c r="D118" s="9"/>
      <c r="E118" s="6" t="n">
        <v>116</v>
      </c>
      <c r="F118" s="6" t="s">
        <v>417</v>
      </c>
      <c r="G118" s="6"/>
    </row>
    <row r="119" customFormat="false" ht="13.8" hidden="false" customHeight="false" outlineLevel="0" collapsed="false">
      <c r="A119" s="0" t="str">
        <f aca="false">PROPER(F119)</f>
        <v>Outcome</v>
      </c>
      <c r="B119" s="9" t="s">
        <v>424</v>
      </c>
      <c r="C119" s="9"/>
      <c r="D119" s="9"/>
      <c r="E119" s="6" t="n">
        <v>117</v>
      </c>
      <c r="F119" s="6" t="s">
        <v>425</v>
      </c>
      <c r="G119" s="6"/>
      <c r="H119" s="11" t="s">
        <v>426</v>
      </c>
      <c r="I119" s="11"/>
      <c r="J119" s="11" t="s">
        <v>427</v>
      </c>
      <c r="K119" s="11"/>
      <c r="L119" s="11"/>
      <c r="M119" s="12" t="s">
        <v>96</v>
      </c>
    </row>
    <row r="120" customFormat="false" ht="13.8" hidden="false" customHeight="false" outlineLevel="0" collapsed="false">
      <c r="A120" s="0" t="str">
        <f aca="false">PROPER(F120)</f>
        <v>Nurse</v>
      </c>
      <c r="B120" s="9" t="s">
        <v>418</v>
      </c>
      <c r="C120" s="9"/>
      <c r="D120" s="9"/>
      <c r="E120" s="6" t="n">
        <v>118</v>
      </c>
      <c r="F120" s="6" t="s">
        <v>419</v>
      </c>
      <c r="G120" s="6"/>
      <c r="H120" s="11" t="s">
        <v>176</v>
      </c>
      <c r="I120" s="11"/>
      <c r="J120" s="11" t="s">
        <v>177</v>
      </c>
      <c r="K120" s="11"/>
      <c r="L120" s="11" t="s">
        <v>178</v>
      </c>
      <c r="M120" s="11"/>
      <c r="N120" s="11" t="s">
        <v>179</v>
      </c>
      <c r="O120" s="11"/>
      <c r="P120" s="11" t="s">
        <v>180</v>
      </c>
      <c r="Q120" s="11"/>
      <c r="R120" s="11" t="s">
        <v>181</v>
      </c>
      <c r="S120" s="11"/>
      <c r="T120" s="11"/>
    </row>
    <row r="121" customFormat="false" ht="13.8" hidden="false" customHeight="false" outlineLevel="0" collapsed="false">
      <c r="A121" s="0" t="str">
        <f aca="false">PROPER(F121)</f>
        <v/>
      </c>
      <c r="B121" s="9"/>
      <c r="C121" s="9"/>
      <c r="D121" s="9"/>
      <c r="E121" s="19" t="s">
        <v>11</v>
      </c>
      <c r="F121" s="19"/>
      <c r="G121" s="19"/>
    </row>
    <row r="122" customFormat="false" ht="13.8" hidden="false" customHeight="false" outlineLevel="0" collapsed="false">
      <c r="A122" s="0" t="str">
        <f aca="false">PROPER(F122)</f>
        <v>Hospital Anxiety And Depression Scores</v>
      </c>
      <c r="B122" s="9" t="s">
        <v>428</v>
      </c>
      <c r="C122" s="9"/>
      <c r="D122" s="9"/>
      <c r="E122" s="6" t="n">
        <v>119</v>
      </c>
      <c r="F122" s="6" t="s">
        <v>429</v>
      </c>
      <c r="G122" s="6"/>
      <c r="H122" s="16" t="s">
        <v>430</v>
      </c>
      <c r="I122" s="16"/>
      <c r="J122" s="16" t="s">
        <v>431</v>
      </c>
    </row>
    <row r="123" customFormat="false" ht="13.8" hidden="false" customHeight="false" outlineLevel="0" collapsed="false">
      <c r="A123" s="0" t="str">
        <f aca="false">PROPER(F123)</f>
        <v>Cat Score (0-35)</v>
      </c>
      <c r="B123" s="9" t="s">
        <v>432</v>
      </c>
      <c r="C123" s="9"/>
      <c r="D123" s="9"/>
      <c r="E123" s="6" t="n">
        <v>120</v>
      </c>
      <c r="F123" s="6" t="s">
        <v>433</v>
      </c>
      <c r="G123" s="6"/>
      <c r="H123" s="0" t="s">
        <v>28</v>
      </c>
    </row>
    <row r="124" customFormat="false" ht="13.8" hidden="false" customHeight="false" outlineLevel="0" collapsed="false">
      <c r="A124" s="0" t="str">
        <f aca="false">PROPER(F124)</f>
        <v>Permission To Use Clinical Audit</v>
      </c>
      <c r="B124" s="9" t="s">
        <v>434</v>
      </c>
      <c r="C124" s="9"/>
      <c r="D124" s="9"/>
      <c r="E124" s="6" t="n">
        <v>121</v>
      </c>
      <c r="F124" s="6" t="s">
        <v>435</v>
      </c>
      <c r="G124" s="6"/>
      <c r="H124" s="0" t="s">
        <v>20</v>
      </c>
      <c r="I124" s="7" t="s">
        <v>21</v>
      </c>
    </row>
  </sheetData>
  <mergeCells count="137">
    <mergeCell ref="E1:H1"/>
    <mergeCell ref="K3:L3"/>
    <mergeCell ref="M3:O3"/>
    <mergeCell ref="H4:I4"/>
    <mergeCell ref="J4:L4"/>
    <mergeCell ref="M4:N4"/>
    <mergeCell ref="H11:I11"/>
    <mergeCell ref="K11:L11"/>
    <mergeCell ref="O19:P19"/>
    <mergeCell ref="Q19:R19"/>
    <mergeCell ref="T19:U19"/>
    <mergeCell ref="H24:J24"/>
    <mergeCell ref="K24:M24"/>
    <mergeCell ref="O25:P25"/>
    <mergeCell ref="F27:G27"/>
    <mergeCell ref="F28:G28"/>
    <mergeCell ref="F29:G29"/>
    <mergeCell ref="K29:L29"/>
    <mergeCell ref="N29:O29"/>
    <mergeCell ref="F30:G30"/>
    <mergeCell ref="M30:N30"/>
    <mergeCell ref="O30:P30"/>
    <mergeCell ref="Q30:R30"/>
    <mergeCell ref="T30:U30"/>
    <mergeCell ref="W30:X30"/>
    <mergeCell ref="F31:G31"/>
    <mergeCell ref="I31:J31"/>
    <mergeCell ref="W31:X31"/>
    <mergeCell ref="F32:G32"/>
    <mergeCell ref="F33:G33"/>
    <mergeCell ref="I33:J33"/>
    <mergeCell ref="L33:M33"/>
    <mergeCell ref="N33:O33"/>
    <mergeCell ref="F34:G34"/>
    <mergeCell ref="F35:G35"/>
    <mergeCell ref="I35:J35"/>
    <mergeCell ref="L35:N35"/>
    <mergeCell ref="O35:Q35"/>
    <mergeCell ref="H38:I38"/>
    <mergeCell ref="J38:K38"/>
    <mergeCell ref="L38:M38"/>
    <mergeCell ref="N38:O38"/>
    <mergeCell ref="P38:Q38"/>
    <mergeCell ref="R38:T38"/>
    <mergeCell ref="U38:V38"/>
    <mergeCell ref="W38:X38"/>
    <mergeCell ref="H39:I39"/>
    <mergeCell ref="J39:K39"/>
    <mergeCell ref="L39:M39"/>
    <mergeCell ref="N39:O39"/>
    <mergeCell ref="P39:Q39"/>
    <mergeCell ref="R39:S39"/>
    <mergeCell ref="T39:U39"/>
    <mergeCell ref="V39:W39"/>
    <mergeCell ref="K48:L48"/>
    <mergeCell ref="K49:L49"/>
    <mergeCell ref="H50:I50"/>
    <mergeCell ref="K50:L50"/>
    <mergeCell ref="H53:J53"/>
    <mergeCell ref="M53:P53"/>
    <mergeCell ref="Q53:R53"/>
    <mergeCell ref="J55:K55"/>
    <mergeCell ref="H56:I56"/>
    <mergeCell ref="L56:M56"/>
    <mergeCell ref="N56:P56"/>
    <mergeCell ref="Q56:S56"/>
    <mergeCell ref="T56:V56"/>
    <mergeCell ref="I58:J58"/>
    <mergeCell ref="L58:M58"/>
    <mergeCell ref="N58:O58"/>
    <mergeCell ref="I63:J63"/>
    <mergeCell ref="K63:L63"/>
    <mergeCell ref="M63:N63"/>
    <mergeCell ref="P63:Q63"/>
    <mergeCell ref="S63:T63"/>
    <mergeCell ref="H66:J66"/>
    <mergeCell ref="K66:M66"/>
    <mergeCell ref="N66:O66"/>
    <mergeCell ref="P66:R66"/>
    <mergeCell ref="S66:U66"/>
    <mergeCell ref="V66:W66"/>
    <mergeCell ref="I67:J67"/>
    <mergeCell ref="L67:M67"/>
    <mergeCell ref="N67:Q67"/>
    <mergeCell ref="R67:U67"/>
    <mergeCell ref="V67:Z67"/>
    <mergeCell ref="J84:K84"/>
    <mergeCell ref="N84:P84"/>
    <mergeCell ref="Q84:S84"/>
    <mergeCell ref="T84:W84"/>
    <mergeCell ref="X84:Y84"/>
    <mergeCell ref="K92:L92"/>
    <mergeCell ref="M92:N92"/>
    <mergeCell ref="U94:W94"/>
    <mergeCell ref="H102:I102"/>
    <mergeCell ref="J102:K102"/>
    <mergeCell ref="L102:M102"/>
    <mergeCell ref="N102:O102"/>
    <mergeCell ref="P102:Q102"/>
    <mergeCell ref="R102:T102"/>
    <mergeCell ref="U102:V102"/>
    <mergeCell ref="W102:X102"/>
    <mergeCell ref="H103:I103"/>
    <mergeCell ref="J103:K103"/>
    <mergeCell ref="L103:M103"/>
    <mergeCell ref="N103:O103"/>
    <mergeCell ref="P103:Q103"/>
    <mergeCell ref="R103:S103"/>
    <mergeCell ref="T103:U103"/>
    <mergeCell ref="V103:W103"/>
    <mergeCell ref="H104:I104"/>
    <mergeCell ref="J104:K104"/>
    <mergeCell ref="L104:M104"/>
    <mergeCell ref="H105:I105"/>
    <mergeCell ref="K105:L105"/>
    <mergeCell ref="M105:O105"/>
    <mergeCell ref="P105:Q105"/>
    <mergeCell ref="R105:T105"/>
    <mergeCell ref="H109:I109"/>
    <mergeCell ref="K109:L109"/>
    <mergeCell ref="M109:N109"/>
    <mergeCell ref="O109:P109"/>
    <mergeCell ref="S109:T109"/>
    <mergeCell ref="H114:I114"/>
    <mergeCell ref="J114:K114"/>
    <mergeCell ref="L114:M114"/>
    <mergeCell ref="N114:O114"/>
    <mergeCell ref="P114:Q114"/>
    <mergeCell ref="R114:T114"/>
    <mergeCell ref="H119:I119"/>
    <mergeCell ref="J119:L119"/>
    <mergeCell ref="H120:I120"/>
    <mergeCell ref="J120:K120"/>
    <mergeCell ref="L120:M120"/>
    <mergeCell ref="N120:O120"/>
    <mergeCell ref="P120:Q120"/>
    <mergeCell ref="R120:T12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A3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1" activeCellId="0" sqref="D41"/>
    </sheetView>
  </sheetViews>
  <sheetFormatPr defaultRowHeight="15"/>
  <cols>
    <col collapsed="false" hidden="false" max="1" min="1" style="0" width="8.50510204081633"/>
    <col collapsed="false" hidden="false" max="2" min="2" style="0" width="21.1938775510204"/>
    <col collapsed="false" hidden="false" max="1025" min="3" style="0" width="8.50510204081633"/>
  </cols>
  <sheetData>
    <row r="1" customFormat="false" ht="18.75" hidden="false" customHeight="false" outlineLevel="0" collapsed="false">
      <c r="A1" s="2" t="s">
        <v>436</v>
      </c>
      <c r="B1" s="2"/>
      <c r="C1" s="2"/>
      <c r="D1" s="2"/>
      <c r="E1" s="2"/>
      <c r="F1" s="2"/>
    </row>
    <row r="3" customFormat="false" ht="15" hidden="false" customHeight="false" outlineLevel="0" collapsed="false">
      <c r="A3" s="34" t="s">
        <v>437</v>
      </c>
      <c r="B3" s="34"/>
    </row>
    <row r="4" customFormat="false" ht="15" hidden="false" customHeight="false" outlineLevel="0" collapsed="false">
      <c r="A4" s="34" t="s">
        <v>438</v>
      </c>
      <c r="B4" s="34"/>
    </row>
    <row r="5" customFormat="false" ht="15" hidden="false" customHeight="false" outlineLevel="0" collapsed="false">
      <c r="A5" s="34" t="s">
        <v>439</v>
      </c>
      <c r="B5" s="34"/>
      <c r="C5" s="0" t="s">
        <v>440</v>
      </c>
      <c r="D5" s="0" t="s">
        <v>441</v>
      </c>
    </row>
    <row r="6" customFormat="false" ht="15" hidden="false" customHeight="false" outlineLevel="0" collapsed="false">
      <c r="A6" s="34" t="s">
        <v>442</v>
      </c>
      <c r="B6" s="34"/>
    </row>
    <row r="7" customFormat="false" ht="15" hidden="false" customHeight="false" outlineLevel="0" collapsed="false">
      <c r="A7" s="34" t="s">
        <v>443</v>
      </c>
      <c r="B7" s="34"/>
    </row>
    <row r="8" customFormat="false" ht="15" hidden="false" customHeight="false" outlineLevel="0" collapsed="false">
      <c r="A8" s="34" t="s">
        <v>444</v>
      </c>
      <c r="B8" s="34"/>
    </row>
    <row r="9" customFormat="false" ht="15" hidden="false" customHeight="false" outlineLevel="0" collapsed="false">
      <c r="A9" s="34" t="s">
        <v>445</v>
      </c>
      <c r="B9" s="34"/>
    </row>
    <row r="10" customFormat="false" ht="15" hidden="false" customHeight="false" outlineLevel="0" collapsed="false">
      <c r="A10" s="34" t="s">
        <v>446</v>
      </c>
      <c r="B10" s="34"/>
    </row>
    <row r="11" customFormat="false" ht="15" hidden="false" customHeight="false" outlineLevel="0" collapsed="false">
      <c r="A11" s="34" t="s">
        <v>447</v>
      </c>
      <c r="B11" s="34"/>
    </row>
    <row r="12" customFormat="false" ht="15" hidden="false" customHeight="false" outlineLevel="0" collapsed="false">
      <c r="A12" s="34" t="s">
        <v>448</v>
      </c>
      <c r="B12" s="34"/>
      <c r="C12" s="0" t="s">
        <v>20</v>
      </c>
      <c r="D12" s="0" t="s">
        <v>21</v>
      </c>
    </row>
    <row r="13" customFormat="false" ht="15" hidden="false" customHeight="false" outlineLevel="0" collapsed="false">
      <c r="A13" s="34" t="s">
        <v>449</v>
      </c>
      <c r="B13" s="34"/>
      <c r="C13" s="0" t="s">
        <v>20</v>
      </c>
      <c r="D13" s="0" t="s">
        <v>21</v>
      </c>
    </row>
    <row r="14" customFormat="false" ht="15" hidden="false" customHeight="false" outlineLevel="0" collapsed="false">
      <c r="A14" s="34" t="s">
        <v>450</v>
      </c>
      <c r="B14" s="34"/>
      <c r="C14" s="0" t="s">
        <v>20</v>
      </c>
      <c r="D14" s="0" t="s">
        <v>21</v>
      </c>
    </row>
    <row r="15" customFormat="false" ht="15" hidden="false" customHeight="false" outlineLevel="0" collapsed="false">
      <c r="A15" s="34" t="s">
        <v>451</v>
      </c>
      <c r="B15" s="34"/>
      <c r="C15" s="0" t="s">
        <v>20</v>
      </c>
      <c r="D15" s="0" t="s">
        <v>21</v>
      </c>
    </row>
    <row r="16" customFormat="false" ht="15" hidden="false" customHeight="false" outlineLevel="0" collapsed="false">
      <c r="A16" s="35" t="s">
        <v>452</v>
      </c>
      <c r="B16" s="35"/>
    </row>
    <row r="17" customFormat="false" ht="15" hidden="false" customHeight="false" outlineLevel="0" collapsed="false">
      <c r="A17" s="35" t="s">
        <v>319</v>
      </c>
      <c r="B17" s="35"/>
    </row>
    <row r="18" customFormat="false" ht="15" hidden="false" customHeight="false" outlineLevel="0" collapsed="false">
      <c r="A18" s="35" t="s">
        <v>322</v>
      </c>
      <c r="B18" s="35"/>
    </row>
    <row r="19" customFormat="false" ht="15" hidden="false" customHeight="false" outlineLevel="0" collapsed="false">
      <c r="A19" s="35" t="s">
        <v>325</v>
      </c>
      <c r="B19" s="35"/>
    </row>
    <row r="20" customFormat="false" ht="15" hidden="false" customHeight="false" outlineLevel="0" collapsed="false">
      <c r="A20" s="35" t="s">
        <v>453</v>
      </c>
      <c r="B20" s="35"/>
    </row>
    <row r="21" customFormat="false" ht="15" hidden="false" customHeight="false" outlineLevel="0" collapsed="false">
      <c r="A21" s="35" t="s">
        <v>454</v>
      </c>
      <c r="B21" s="35"/>
      <c r="C21" s="0" t="s">
        <v>20</v>
      </c>
      <c r="D21" s="0" t="s">
        <v>21</v>
      </c>
    </row>
    <row r="22" customFormat="false" ht="15" hidden="false" customHeight="false" outlineLevel="0" collapsed="false">
      <c r="A22" s="35" t="s">
        <v>455</v>
      </c>
      <c r="B22" s="35"/>
      <c r="C22" s="0" t="s">
        <v>20</v>
      </c>
      <c r="D22" s="0" t="s">
        <v>21</v>
      </c>
    </row>
    <row r="23" customFormat="false" ht="15" hidden="false" customHeight="false" outlineLevel="0" collapsed="false">
      <c r="A23" s="35" t="s">
        <v>456</v>
      </c>
      <c r="B23" s="35"/>
      <c r="C23" s="0" t="s">
        <v>357</v>
      </c>
      <c r="D23" s="11" t="s">
        <v>358</v>
      </c>
      <c r="E23" s="11"/>
      <c r="F23" s="0" t="s">
        <v>457</v>
      </c>
    </row>
    <row r="24" customFormat="false" ht="15" hidden="false" customHeight="false" outlineLevel="0" collapsed="false">
      <c r="A24" s="35" t="s">
        <v>458</v>
      </c>
      <c r="B24" s="35"/>
      <c r="C24" s="0" t="s">
        <v>459</v>
      </c>
    </row>
    <row r="25" customFormat="false" ht="15" hidden="false" customHeight="false" outlineLevel="0" collapsed="false">
      <c r="A25" s="35" t="s">
        <v>460</v>
      </c>
      <c r="B25" s="35"/>
      <c r="C25" s="11" t="s">
        <v>461</v>
      </c>
      <c r="D25" s="11"/>
      <c r="E25" s="11" t="s">
        <v>462</v>
      </c>
      <c r="F25" s="11"/>
      <c r="G25" s="11" t="s">
        <v>358</v>
      </c>
      <c r="H25" s="11"/>
      <c r="I25" s="0" t="s">
        <v>463</v>
      </c>
    </row>
    <row r="26" customFormat="false" ht="15" hidden="false" customHeight="false" outlineLevel="0" collapsed="false">
      <c r="A26" s="35" t="s">
        <v>219</v>
      </c>
      <c r="B26" s="35"/>
      <c r="C26" s="11" t="s">
        <v>464</v>
      </c>
      <c r="D26" s="11"/>
      <c r="E26" s="0" t="s">
        <v>222</v>
      </c>
      <c r="G26" s="11" t="s">
        <v>221</v>
      </c>
      <c r="H26" s="11"/>
      <c r="I26" s="0" t="s">
        <v>465</v>
      </c>
    </row>
    <row r="27" customFormat="false" ht="15" hidden="false" customHeight="false" outlineLevel="0" collapsed="false">
      <c r="A27" s="35" t="s">
        <v>466</v>
      </c>
      <c r="B27" s="35"/>
      <c r="C27" s="0" t="s">
        <v>467</v>
      </c>
    </row>
    <row r="28" customFormat="false" ht="15" hidden="false" customHeight="false" outlineLevel="0" collapsed="false">
      <c r="A28" s="35" t="s">
        <v>468</v>
      </c>
      <c r="B28" s="35"/>
    </row>
    <row r="29" customFormat="false" ht="15" hidden="false" customHeight="false" outlineLevel="0" collapsed="false">
      <c r="A29" s="35" t="s">
        <v>469</v>
      </c>
      <c r="B29" s="35"/>
    </row>
    <row r="30" customFormat="false" ht="15" hidden="false" customHeight="false" outlineLevel="0" collapsed="false">
      <c r="A30" s="35" t="s">
        <v>470</v>
      </c>
      <c r="B30" s="35"/>
      <c r="C30" s="0" t="s">
        <v>471</v>
      </c>
      <c r="D30" s="0" t="s">
        <v>472</v>
      </c>
      <c r="E30" s="11" t="s">
        <v>473</v>
      </c>
      <c r="F30" s="11"/>
      <c r="G30" s="11" t="s">
        <v>474</v>
      </c>
      <c r="H30" s="11"/>
      <c r="I30" s="0" t="s">
        <v>475</v>
      </c>
      <c r="L30" s="0" t="s">
        <v>11</v>
      </c>
    </row>
    <row r="31" customFormat="false" ht="15" hidden="false" customHeight="false" outlineLevel="0" collapsed="false">
      <c r="A31" s="35" t="s">
        <v>476</v>
      </c>
      <c r="B31" s="35"/>
      <c r="C31" s="0" t="s">
        <v>477</v>
      </c>
      <c r="D31" s="0" t="s">
        <v>478</v>
      </c>
      <c r="E31" s="0" t="s">
        <v>479</v>
      </c>
      <c r="F31" s="0" t="s">
        <v>480</v>
      </c>
      <c r="G31" s="0" t="s">
        <v>11</v>
      </c>
    </row>
    <row r="32" customFormat="false" ht="15" hidden="false" customHeight="false" outlineLevel="0" collapsed="false">
      <c r="A32" s="35" t="s">
        <v>481</v>
      </c>
      <c r="B32" s="35"/>
      <c r="C32" s="0" t="s">
        <v>335</v>
      </c>
      <c r="D32" s="7" t="s">
        <v>336</v>
      </c>
      <c r="E32" s="8" t="s">
        <v>337</v>
      </c>
      <c r="F32" s="8"/>
      <c r="G32" s="0" t="s">
        <v>338</v>
      </c>
      <c r="H32" s="0" t="s">
        <v>339</v>
      </c>
      <c r="I32" s="11" t="s">
        <v>340</v>
      </c>
      <c r="J32" s="11"/>
      <c r="K32" s="11"/>
      <c r="L32" s="11" t="s">
        <v>341</v>
      </c>
      <c r="M32" s="11"/>
      <c r="N32" s="11"/>
      <c r="O32" s="11" t="s">
        <v>342</v>
      </c>
      <c r="P32" s="11"/>
      <c r="Q32" s="11"/>
      <c r="R32" s="11"/>
      <c r="S32" s="11"/>
      <c r="T32" s="11"/>
    </row>
    <row r="33" customFormat="false" ht="15" hidden="false" customHeight="false" outlineLevel="0" collapsed="false">
      <c r="A33" s="35" t="s">
        <v>482</v>
      </c>
      <c r="B33" s="35"/>
      <c r="C33" s="11" t="s">
        <v>483</v>
      </c>
      <c r="D33" s="11"/>
      <c r="E33" s="0" t="s">
        <v>484</v>
      </c>
      <c r="G33" s="11" t="s">
        <v>485</v>
      </c>
      <c r="H33" s="11"/>
      <c r="I33" s="11" t="s">
        <v>486</v>
      </c>
      <c r="J33" s="11"/>
      <c r="K33" s="0" t="s">
        <v>487</v>
      </c>
      <c r="M33" s="11" t="s">
        <v>488</v>
      </c>
      <c r="N33" s="11"/>
      <c r="O33" s="11"/>
      <c r="P33" s="0" t="s">
        <v>489</v>
      </c>
      <c r="S33" s="12" t="s">
        <v>490</v>
      </c>
      <c r="T33" s="11" t="s">
        <v>491</v>
      </c>
      <c r="U33" s="11"/>
      <c r="V33" s="11"/>
      <c r="W33" s="11" t="s">
        <v>492</v>
      </c>
      <c r="X33" s="11"/>
      <c r="Y33" s="11" t="s">
        <v>493</v>
      </c>
      <c r="Z33" s="11"/>
      <c r="AA33" s="11"/>
    </row>
    <row r="34" customFormat="false" ht="15" hidden="false" customHeight="false" outlineLevel="0" collapsed="false">
      <c r="A34" s="35" t="s">
        <v>494</v>
      </c>
      <c r="B34" s="35"/>
      <c r="C34" s="16" t="s">
        <v>362</v>
      </c>
      <c r="D34" s="16"/>
      <c r="G34" s="11" t="s">
        <v>495</v>
      </c>
      <c r="H34" s="11"/>
      <c r="I34" s="11"/>
      <c r="J34" s="11"/>
      <c r="K34" s="16" t="s">
        <v>496</v>
      </c>
      <c r="L34" s="16"/>
      <c r="M34" s="16"/>
      <c r="N34" s="16"/>
      <c r="O34" s="16"/>
      <c r="P34" s="11" t="s">
        <v>365</v>
      </c>
      <c r="Q34" s="11"/>
      <c r="R34" s="11"/>
      <c r="T34" s="0" t="s">
        <v>11</v>
      </c>
    </row>
    <row r="35" customFormat="false" ht="15" hidden="false" customHeight="false" outlineLevel="0" collapsed="false">
      <c r="A35" s="36" t="s">
        <v>497</v>
      </c>
      <c r="B35" s="36"/>
    </row>
    <row r="36" customFormat="false" ht="15" hidden="false" customHeight="false" outlineLevel="0" collapsed="false">
      <c r="A36" s="36" t="s">
        <v>498</v>
      </c>
      <c r="B36" s="36"/>
    </row>
    <row r="37" customFormat="false" ht="15" hidden="false" customHeight="false" outlineLevel="0" collapsed="false">
      <c r="A37" s="36" t="s">
        <v>499</v>
      </c>
      <c r="B37" s="36"/>
    </row>
    <row r="38" customFormat="false" ht="15" hidden="false" customHeight="false" outlineLevel="0" collapsed="false">
      <c r="A38" s="36" t="s">
        <v>500</v>
      </c>
      <c r="B38" s="36"/>
    </row>
    <row r="39" customFormat="false" ht="15" hidden="false" customHeight="false" outlineLevel="0" collapsed="false">
      <c r="A39" s="36" t="s">
        <v>501</v>
      </c>
      <c r="B39" s="36"/>
    </row>
  </sheetData>
  <mergeCells count="22">
    <mergeCell ref="D23:E23"/>
    <mergeCell ref="C25:D25"/>
    <mergeCell ref="E25:F25"/>
    <mergeCell ref="G25:H25"/>
    <mergeCell ref="C26:D26"/>
    <mergeCell ref="G26:H26"/>
    <mergeCell ref="E30:F30"/>
    <mergeCell ref="G30:H30"/>
    <mergeCell ref="E32:F32"/>
    <mergeCell ref="I32:K32"/>
    <mergeCell ref="L32:N32"/>
    <mergeCell ref="O32:R32"/>
    <mergeCell ref="S32:T32"/>
    <mergeCell ref="C33:D33"/>
    <mergeCell ref="G33:H33"/>
    <mergeCell ref="I33:J33"/>
    <mergeCell ref="M33:O33"/>
    <mergeCell ref="T33:V33"/>
    <mergeCell ref="W33:X33"/>
    <mergeCell ref="Y33:AA33"/>
    <mergeCell ref="G34:J34"/>
    <mergeCell ref="P34:R3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27"/>
  <sheetViews>
    <sheetView windowProtection="false" showFormulas="false" showGridLines="true" showRowColHeaders="true" showZeros="true" rightToLeft="false" tabSelected="false" showOutlineSymbols="true" defaultGridColor="true" view="normal" topLeftCell="A47" colorId="64" zoomScale="100" zoomScaleNormal="100" zoomScalePageLayoutView="100" workbookViewId="0">
      <selection pane="topLeft" activeCell="D131" activeCellId="0" sqref="D131"/>
    </sheetView>
  </sheetViews>
  <sheetFormatPr defaultRowHeight="15"/>
  <cols>
    <col collapsed="false" hidden="false" max="1" min="1" style="0" width="5.26530612244898"/>
    <col collapsed="false" hidden="false" max="2" min="2" style="0" width="59.8010204081633"/>
    <col collapsed="false" hidden="false" max="3" min="3" style="0" width="12.1479591836735"/>
    <col collapsed="false" hidden="false" max="4" min="4" style="0" width="23.7602040816327"/>
    <col collapsed="false" hidden="false" max="5" min="5" style="0" width="15.3877551020408"/>
    <col collapsed="false" hidden="false" max="6" min="6" style="0" width="11.3418367346939"/>
    <col collapsed="false" hidden="false" max="7" min="7" style="0" width="11.2040816326531"/>
    <col collapsed="false" hidden="false" max="8" min="8" style="0" width="18.0867346938776"/>
    <col collapsed="false" hidden="false" max="9" min="9" style="0" width="8.50510204081633"/>
    <col collapsed="false" hidden="false" max="10" min="10" style="0" width="10.2602040816327"/>
    <col collapsed="false" hidden="false" max="14" min="11" style="0" width="8.50510204081633"/>
    <col collapsed="false" hidden="false" max="15" min="15" style="0" width="10.9336734693878"/>
    <col collapsed="false" hidden="false" max="1025" min="16" style="0" width="8.50510204081633"/>
  </cols>
  <sheetData>
    <row r="1" customFormat="false" ht="18.75" hidden="false" customHeight="false" outlineLevel="0" collapsed="false">
      <c r="A1" s="1" t="s">
        <v>0</v>
      </c>
      <c r="B1" s="1"/>
      <c r="C1" s="1"/>
      <c r="D1" s="1"/>
      <c r="E1" s="2" t="s">
        <v>1</v>
      </c>
    </row>
    <row r="2" customFormat="false" ht="15" hidden="false" customHeight="false" outlineLevel="0" collapsed="false">
      <c r="A2" s="37" t="s">
        <v>2</v>
      </c>
      <c r="B2" s="37"/>
      <c r="C2" s="37"/>
      <c r="D2" s="29" t="s">
        <v>502</v>
      </c>
    </row>
    <row r="3" customFormat="false" ht="15" hidden="false" customHeight="false" outlineLevel="0" collapsed="false">
      <c r="A3" s="0" t="s">
        <v>503</v>
      </c>
      <c r="B3" s="34" t="s">
        <v>504</v>
      </c>
      <c r="C3" s="34"/>
    </row>
    <row r="4" customFormat="false" ht="15" hidden="false" customHeight="false" outlineLevel="0" collapsed="false">
      <c r="A4" s="0" t="s">
        <v>505</v>
      </c>
      <c r="B4" s="34" t="s">
        <v>506</v>
      </c>
      <c r="C4" s="34"/>
    </row>
    <row r="5" customFormat="false" ht="15" hidden="false" customHeight="false" outlineLevel="0" collapsed="false">
      <c r="A5" s="0" t="s">
        <v>507</v>
      </c>
      <c r="B5" s="34" t="s">
        <v>508</v>
      </c>
      <c r="C5" s="34"/>
    </row>
    <row r="6" customFormat="false" ht="15" hidden="false" customHeight="false" outlineLevel="0" collapsed="false">
      <c r="A6" s="0" t="s">
        <v>509</v>
      </c>
      <c r="B6" s="34" t="s">
        <v>510</v>
      </c>
      <c r="C6" s="34"/>
    </row>
    <row r="7" customFormat="false" ht="15" hidden="false" customHeight="false" outlineLevel="0" collapsed="false">
      <c r="A7" s="0" t="s">
        <v>511</v>
      </c>
      <c r="B7" s="34" t="s">
        <v>512</v>
      </c>
      <c r="C7" s="34"/>
    </row>
    <row r="8" customFormat="false" ht="15" hidden="false" customHeight="false" outlineLevel="0" collapsed="false">
      <c r="A8" s="0" t="s">
        <v>513</v>
      </c>
      <c r="B8" s="34" t="s">
        <v>514</v>
      </c>
      <c r="C8" s="34"/>
    </row>
    <row r="9" customFormat="false" ht="15" hidden="false" customHeight="false" outlineLevel="0" collapsed="false">
      <c r="A9" s="0" t="s">
        <v>515</v>
      </c>
      <c r="B9" s="34" t="s">
        <v>516</v>
      </c>
      <c r="C9" s="34"/>
    </row>
    <row r="10" customFormat="false" ht="15" hidden="false" customHeight="false" outlineLevel="0" collapsed="false">
      <c r="A10" s="0" t="s">
        <v>517</v>
      </c>
      <c r="B10" s="34" t="s">
        <v>518</v>
      </c>
      <c r="C10" s="34"/>
    </row>
    <row r="11" customFormat="false" ht="15" hidden="false" customHeight="false" outlineLevel="0" collapsed="false">
      <c r="A11" s="0" t="s">
        <v>519</v>
      </c>
      <c r="B11" s="34" t="s">
        <v>520</v>
      </c>
      <c r="C11" s="34"/>
    </row>
    <row r="12" customFormat="false" ht="15" hidden="false" customHeight="false" outlineLevel="0" collapsed="false">
      <c r="A12" s="0" t="s">
        <v>521</v>
      </c>
      <c r="B12" s="34" t="s">
        <v>522</v>
      </c>
      <c r="D12" s="0" t="s">
        <v>523</v>
      </c>
      <c r="E12" s="0" t="s">
        <v>524</v>
      </c>
      <c r="F12" s="0" t="s">
        <v>525</v>
      </c>
    </row>
    <row r="13" customFormat="false" ht="15" hidden="false" customHeight="false" outlineLevel="0" collapsed="false">
      <c r="A13" s="0" t="s">
        <v>526</v>
      </c>
      <c r="B13" s="34" t="s">
        <v>527</v>
      </c>
      <c r="C13" s="34"/>
      <c r="D13" s="0" t="s">
        <v>528</v>
      </c>
      <c r="E13" s="0" t="s">
        <v>529</v>
      </c>
      <c r="F13" s="0" t="s">
        <v>530</v>
      </c>
      <c r="G13" s="0" t="s">
        <v>531</v>
      </c>
      <c r="H13" s="0" t="s">
        <v>532</v>
      </c>
    </row>
    <row r="14" customFormat="false" ht="15" hidden="false" customHeight="false" outlineLevel="0" collapsed="false">
      <c r="A14" s="0" t="s">
        <v>533</v>
      </c>
      <c r="B14" s="34" t="s">
        <v>534</v>
      </c>
      <c r="C14" s="34"/>
      <c r="D14" s="38" t="s">
        <v>535</v>
      </c>
      <c r="E14" s="31" t="s">
        <v>536</v>
      </c>
      <c r="F14" s="31"/>
      <c r="G14" s="31"/>
      <c r="H14" s="31"/>
      <c r="I14" s="32" t="s">
        <v>537</v>
      </c>
      <c r="J14" s="31" t="s">
        <v>538</v>
      </c>
      <c r="K14" s="31"/>
      <c r="L14" s="31"/>
      <c r="M14" s="32" t="s">
        <v>539</v>
      </c>
      <c r="N14" s="32"/>
    </row>
    <row r="15" customFormat="false" ht="15" hidden="false" customHeight="false" outlineLevel="0" collapsed="false">
      <c r="D15" s="39" t="s">
        <v>540</v>
      </c>
      <c r="E15" s="39"/>
      <c r="F15" s="39"/>
      <c r="G15" s="31" t="s">
        <v>541</v>
      </c>
      <c r="H15" s="31"/>
      <c r="I15" s="31"/>
      <c r="J15" s="31" t="s">
        <v>542</v>
      </c>
      <c r="K15" s="31"/>
      <c r="L15" s="31"/>
      <c r="M15" s="31" t="s">
        <v>543</v>
      </c>
      <c r="N15" s="31"/>
      <c r="O15" s="31" t="s">
        <v>539</v>
      </c>
      <c r="P15" s="31"/>
    </row>
    <row r="16" customFormat="false" ht="15" hidden="false" customHeight="false" outlineLevel="0" collapsed="false">
      <c r="D16" s="40" t="s">
        <v>544</v>
      </c>
      <c r="E16" s="40"/>
      <c r="F16" s="40"/>
      <c r="G16" s="41" t="s">
        <v>545</v>
      </c>
      <c r="H16" s="41" t="s">
        <v>546</v>
      </c>
      <c r="I16" s="31" t="s">
        <v>547</v>
      </c>
      <c r="J16" s="31"/>
      <c r="K16" s="41" t="s">
        <v>548</v>
      </c>
      <c r="L16" s="31" t="s">
        <v>539</v>
      </c>
      <c r="M16" s="31"/>
      <c r="N16" s="32"/>
      <c r="O16" s="32"/>
      <c r="P16" s="32"/>
    </row>
    <row r="17" customFormat="false" ht="15" hidden="false" customHeight="false" outlineLevel="0" collapsed="false">
      <c r="D17" s="42" t="s">
        <v>549</v>
      </c>
      <c r="E17" s="42"/>
      <c r="F17" s="42"/>
      <c r="G17" s="42"/>
      <c r="H17" s="42"/>
      <c r="I17" s="32" t="s">
        <v>550</v>
      </c>
      <c r="J17" s="31" t="s">
        <v>551</v>
      </c>
      <c r="K17" s="31"/>
      <c r="L17" s="31" t="s">
        <v>539</v>
      </c>
      <c r="M17" s="31"/>
    </row>
    <row r="18" customFormat="false" ht="15" hidden="false" customHeight="false" outlineLevel="0" collapsed="false">
      <c r="D18" s="43" t="s">
        <v>552</v>
      </c>
      <c r="E18" s="43"/>
      <c r="F18" s="43"/>
      <c r="G18" s="32" t="s">
        <v>553</v>
      </c>
      <c r="H18" s="32" t="s">
        <v>11</v>
      </c>
    </row>
    <row r="19" customFormat="false" ht="15" hidden="false" customHeight="false" outlineLevel="0" collapsed="false">
      <c r="B19" s="0" t="s">
        <v>5</v>
      </c>
      <c r="D19" s="32"/>
      <c r="E19" s="32"/>
      <c r="F19" s="32"/>
      <c r="G19" s="32"/>
      <c r="H19" s="32"/>
    </row>
    <row r="20" customFormat="false" ht="15" hidden="false" customHeight="false" outlineLevel="0" collapsed="false">
      <c r="A20" s="0" t="s">
        <v>554</v>
      </c>
      <c r="B20" s="10" t="s">
        <v>13</v>
      </c>
      <c r="C20" s="34"/>
      <c r="D20" s="32"/>
      <c r="E20" s="11" t="s">
        <v>14</v>
      </c>
      <c r="F20" s="11"/>
      <c r="G20" s="11" t="s">
        <v>15</v>
      </c>
      <c r="H20" s="11"/>
      <c r="I20" s="11"/>
      <c r="J20" s="11" t="s">
        <v>16</v>
      </c>
      <c r="K20" s="11"/>
      <c r="L20" s="0" t="s">
        <v>11</v>
      </c>
    </row>
    <row r="21" customFormat="false" ht="15" hidden="false" customHeight="false" outlineLevel="0" collapsed="false">
      <c r="A21" s="0" t="s">
        <v>555</v>
      </c>
      <c r="B21" s="34" t="s">
        <v>556</v>
      </c>
    </row>
    <row r="22" customFormat="false" ht="15" hidden="false" customHeight="false" outlineLevel="0" collapsed="false">
      <c r="A22" s="0" t="s">
        <v>557</v>
      </c>
      <c r="B22" s="34" t="s">
        <v>558</v>
      </c>
      <c r="C22" s="34"/>
    </row>
    <row r="23" customFormat="false" ht="15" hidden="false" customHeight="false" outlineLevel="0" collapsed="false">
      <c r="A23" s="0" t="s">
        <v>559</v>
      </c>
      <c r="B23" s="34" t="s">
        <v>560</v>
      </c>
      <c r="C23" s="44" t="s">
        <v>561</v>
      </c>
    </row>
    <row r="24" customFormat="false" ht="15" hidden="false" customHeight="false" outlineLevel="0" collapsed="false">
      <c r="A24" s="0" t="s">
        <v>562</v>
      </c>
      <c r="B24" s="34" t="s">
        <v>19</v>
      </c>
      <c r="C24" s="34"/>
      <c r="D24" s="0" t="s">
        <v>20</v>
      </c>
      <c r="E24" s="0" t="s">
        <v>21</v>
      </c>
    </row>
    <row r="25" customFormat="false" ht="15" hidden="false" customHeight="false" outlineLevel="0" collapsed="false">
      <c r="A25" s="37" t="s">
        <v>304</v>
      </c>
      <c r="B25" s="37"/>
      <c r="C25" s="37"/>
    </row>
    <row r="26" customFormat="false" ht="15" hidden="false" customHeight="false" outlineLevel="0" collapsed="false">
      <c r="A26" s="0" t="s">
        <v>563</v>
      </c>
      <c r="B26" s="10" t="s">
        <v>564</v>
      </c>
      <c r="C26" s="10"/>
      <c r="D26" s="10"/>
      <c r="E26" s="16"/>
      <c r="F26" s="0" t="s">
        <v>27</v>
      </c>
    </row>
    <row r="27" customFormat="false" ht="15" hidden="false" customHeight="false" outlineLevel="0" collapsed="false">
      <c r="A27" s="0" t="s">
        <v>565</v>
      </c>
      <c r="B27" s="10" t="s">
        <v>52</v>
      </c>
      <c r="C27" s="10"/>
      <c r="D27" s="10"/>
      <c r="E27" s="16" t="s">
        <v>53</v>
      </c>
      <c r="F27" s="16" t="s">
        <v>54</v>
      </c>
    </row>
    <row r="28" customFormat="false" ht="15" hidden="false" customHeight="false" outlineLevel="0" collapsed="false">
      <c r="A28" s="0" t="s">
        <v>566</v>
      </c>
      <c r="B28" s="10" t="s">
        <v>56</v>
      </c>
      <c r="C28" s="34"/>
      <c r="D28" s="0" t="s">
        <v>57</v>
      </c>
      <c r="E28" s="0" t="s">
        <v>58</v>
      </c>
      <c r="F28" s="0" t="s">
        <v>54</v>
      </c>
      <c r="G28" s="0" t="s">
        <v>59</v>
      </c>
      <c r="H28" s="0" t="s">
        <v>60</v>
      </c>
      <c r="I28" s="0" t="s">
        <v>61</v>
      </c>
      <c r="J28" s="0" t="s">
        <v>62</v>
      </c>
      <c r="K28" s="11" t="s">
        <v>63</v>
      </c>
      <c r="L28" s="11"/>
      <c r="M28" s="11" t="s">
        <v>64</v>
      </c>
      <c r="N28" s="11"/>
      <c r="O28" s="12" t="s">
        <v>65</v>
      </c>
      <c r="P28" s="11" t="s">
        <v>66</v>
      </c>
      <c r="Q28" s="11"/>
    </row>
    <row r="29" customFormat="false" ht="15" hidden="false" customHeight="false" outlineLevel="0" collapsed="false">
      <c r="A29" s="0" t="s">
        <v>567</v>
      </c>
      <c r="B29" s="10" t="s">
        <v>69</v>
      </c>
      <c r="C29" s="10"/>
      <c r="D29" s="16"/>
    </row>
    <row r="30" customFormat="false" ht="15" hidden="false" customHeight="false" outlineLevel="0" collapsed="false">
      <c r="A30" s="0" t="s">
        <v>568</v>
      </c>
      <c r="B30" s="10" t="s">
        <v>72</v>
      </c>
      <c r="C30" s="10"/>
      <c r="D30" s="16"/>
      <c r="E30" s="0" t="s">
        <v>61</v>
      </c>
      <c r="F30" s="0" t="s">
        <v>73</v>
      </c>
      <c r="G30" s="0" t="n">
        <v>15</v>
      </c>
      <c r="H30" s="0" t="n">
        <v>16</v>
      </c>
      <c r="I30" s="0" t="n">
        <v>17</v>
      </c>
      <c r="J30" s="0" t="n">
        <v>20</v>
      </c>
      <c r="K30" s="12" t="s">
        <v>74</v>
      </c>
      <c r="L30" s="0" t="n">
        <v>28</v>
      </c>
      <c r="M30" s="0" t="n">
        <v>27</v>
      </c>
      <c r="N30" s="12" t="s">
        <v>75</v>
      </c>
      <c r="O30" s="0" t="n">
        <v>29</v>
      </c>
      <c r="P30" s="0" t="n">
        <v>33</v>
      </c>
      <c r="Q30" s="0" t="s">
        <v>76</v>
      </c>
      <c r="R30" s="0" t="n">
        <v>34</v>
      </c>
    </row>
    <row r="31" customFormat="false" ht="15" hidden="false" customHeight="false" outlineLevel="0" collapsed="false">
      <c r="A31" s="0" t="s">
        <v>569</v>
      </c>
      <c r="B31" s="10" t="s">
        <v>79</v>
      </c>
      <c r="C31" s="10"/>
      <c r="D31" s="10"/>
      <c r="E31" s="0" t="s">
        <v>20</v>
      </c>
      <c r="F31" s="0" t="s">
        <v>21</v>
      </c>
      <c r="G31" s="0" t="s">
        <v>80</v>
      </c>
      <c r="K31" s="12"/>
      <c r="N31" s="12"/>
    </row>
    <row r="32" customFormat="false" ht="15" hidden="false" customHeight="false" outlineLevel="0" collapsed="false">
      <c r="A32" s="0" t="s">
        <v>570</v>
      </c>
      <c r="B32" s="10" t="s">
        <v>82</v>
      </c>
      <c r="C32" s="10"/>
      <c r="D32" s="10"/>
      <c r="K32" s="12"/>
      <c r="N32" s="12"/>
    </row>
    <row r="33" customFormat="false" ht="15" hidden="false" customHeight="false" outlineLevel="0" collapsed="false">
      <c r="A33" s="0" t="s">
        <v>571</v>
      </c>
      <c r="B33" s="34" t="s">
        <v>85</v>
      </c>
      <c r="C33" s="32" t="s">
        <v>20</v>
      </c>
      <c r="D33" s="32" t="s">
        <v>21</v>
      </c>
      <c r="E33" s="32"/>
      <c r="F33" s="32"/>
    </row>
    <row r="34" customFormat="false" ht="15" hidden="false" customHeight="false" outlineLevel="0" collapsed="false">
      <c r="A34" s="0" t="s">
        <v>572</v>
      </c>
      <c r="B34" s="34" t="s">
        <v>86</v>
      </c>
      <c r="C34" s="32" t="s">
        <v>20</v>
      </c>
      <c r="D34" s="32" t="s">
        <v>21</v>
      </c>
      <c r="E34" s="32"/>
      <c r="F34" s="32"/>
    </row>
    <row r="35" customFormat="false" ht="15" hidden="false" customHeight="false" outlineLevel="0" collapsed="false">
      <c r="A35" s="0" t="s">
        <v>573</v>
      </c>
      <c r="B35" s="34" t="s">
        <v>98</v>
      </c>
      <c r="C35" s="34"/>
      <c r="D35" s="32"/>
    </row>
    <row r="36" customFormat="false" ht="15" hidden="false" customHeight="false" outlineLevel="0" collapsed="false">
      <c r="B36" s="20" t="s">
        <v>100</v>
      </c>
      <c r="C36" s="20"/>
      <c r="D36" s="0" t="s">
        <v>101</v>
      </c>
      <c r="E36" s="0" t="s">
        <v>102</v>
      </c>
      <c r="F36" s="0" t="s">
        <v>103</v>
      </c>
      <c r="G36" s="0" t="s">
        <v>60</v>
      </c>
      <c r="H36" s="0" t="s">
        <v>104</v>
      </c>
      <c r="I36" s="0" t="s">
        <v>105</v>
      </c>
      <c r="J36" s="0" t="s">
        <v>106</v>
      </c>
      <c r="K36" s="0" t="s">
        <v>107</v>
      </c>
    </row>
    <row r="37" customFormat="false" ht="15" hidden="false" customHeight="false" outlineLevel="0" collapsed="false">
      <c r="B37" s="21" t="s">
        <v>109</v>
      </c>
      <c r="C37" s="21"/>
      <c r="D37" s="0" t="s">
        <v>110</v>
      </c>
      <c r="E37" s="0" t="s">
        <v>111</v>
      </c>
      <c r="F37" s="0" t="s">
        <v>112</v>
      </c>
      <c r="G37" s="0" t="s">
        <v>113</v>
      </c>
      <c r="H37" s="0" t="s">
        <v>114</v>
      </c>
      <c r="I37" s="0" t="s">
        <v>115</v>
      </c>
      <c r="J37" s="0" t="s">
        <v>116</v>
      </c>
    </row>
    <row r="38" customFormat="false" ht="15" hidden="false" customHeight="false" outlineLevel="0" collapsed="false">
      <c r="B38" s="22" t="s">
        <v>118</v>
      </c>
      <c r="C38" s="22"/>
      <c r="D38" s="0" t="s">
        <v>119</v>
      </c>
      <c r="E38" s="0" t="s">
        <v>120</v>
      </c>
      <c r="F38" s="0" t="s">
        <v>121</v>
      </c>
      <c r="G38" s="11" t="s">
        <v>122</v>
      </c>
      <c r="H38" s="11"/>
      <c r="I38" s="0" t="s">
        <v>123</v>
      </c>
      <c r="J38" s="11" t="s">
        <v>124</v>
      </c>
      <c r="K38" s="11"/>
      <c r="L38" s="0" t="s">
        <v>125</v>
      </c>
    </row>
    <row r="39" customFormat="false" ht="15" hidden="false" customHeight="false" outlineLevel="0" collapsed="false">
      <c r="B39" s="23" t="s">
        <v>127</v>
      </c>
      <c r="C39" s="23"/>
      <c r="D39" s="0" t="s">
        <v>128</v>
      </c>
      <c r="E39" s="0" t="s">
        <v>129</v>
      </c>
      <c r="F39" s="0" t="s">
        <v>130</v>
      </c>
      <c r="G39" s="0" t="s">
        <v>131</v>
      </c>
      <c r="H39" s="0" t="s">
        <v>132</v>
      </c>
      <c r="I39" s="11" t="s">
        <v>133</v>
      </c>
      <c r="J39" s="11"/>
      <c r="K39" s="11" t="s">
        <v>134</v>
      </c>
      <c r="L39" s="11"/>
      <c r="M39" s="11" t="s">
        <v>135</v>
      </c>
      <c r="N39" s="11"/>
      <c r="O39" s="0" t="s">
        <v>136</v>
      </c>
      <c r="P39" s="11" t="s">
        <v>137</v>
      </c>
      <c r="Q39" s="11"/>
      <c r="R39" s="0" t="s">
        <v>138</v>
      </c>
      <c r="S39" s="11" t="s">
        <v>139</v>
      </c>
      <c r="T39" s="11"/>
      <c r="U39" s="0" t="s">
        <v>140</v>
      </c>
      <c r="V39" s="0" t="s">
        <v>141</v>
      </c>
    </row>
    <row r="40" customFormat="false" ht="15" hidden="false" customHeight="false" outlineLevel="0" collapsed="false">
      <c r="B40" s="24" t="s">
        <v>143</v>
      </c>
      <c r="C40" s="24"/>
      <c r="D40" s="0" t="s">
        <v>144</v>
      </c>
      <c r="E40" s="11" t="s">
        <v>145</v>
      </c>
      <c r="F40" s="11"/>
      <c r="G40" s="0" t="s">
        <v>146</v>
      </c>
      <c r="S40" s="11" t="s">
        <v>147</v>
      </c>
      <c r="T40" s="11"/>
    </row>
    <row r="41" customFormat="false" ht="15" hidden="false" customHeight="false" outlineLevel="0" collapsed="false">
      <c r="B41" s="25" t="s">
        <v>149</v>
      </c>
      <c r="C41" s="25"/>
      <c r="D41" s="0" t="s">
        <v>150</v>
      </c>
      <c r="E41" s="0" t="s">
        <v>151</v>
      </c>
      <c r="F41" s="0" t="s">
        <v>152</v>
      </c>
      <c r="G41" s="0" t="s">
        <v>153</v>
      </c>
    </row>
    <row r="42" customFormat="false" ht="15" hidden="false" customHeight="false" outlineLevel="0" collapsed="false">
      <c r="B42" s="26" t="s">
        <v>155</v>
      </c>
      <c r="C42" s="26"/>
      <c r="D42" s="0" t="s">
        <v>156</v>
      </c>
      <c r="E42" s="11" t="s">
        <v>157</v>
      </c>
      <c r="F42" s="11"/>
      <c r="G42" s="0" t="s">
        <v>158</v>
      </c>
      <c r="H42" s="11" t="s">
        <v>159</v>
      </c>
      <c r="I42" s="11"/>
      <c r="J42" s="11" t="s">
        <v>160</v>
      </c>
      <c r="K42" s="11"/>
    </row>
    <row r="43" customFormat="false" ht="15" hidden="false" customHeight="false" outlineLevel="0" collapsed="false">
      <c r="B43" s="27" t="s">
        <v>162</v>
      </c>
      <c r="C43" s="27"/>
    </row>
    <row r="44" customFormat="false" ht="15" hidden="false" customHeight="false" outlineLevel="0" collapsed="false">
      <c r="B44" s="20" t="s">
        <v>164</v>
      </c>
      <c r="C44" s="20"/>
      <c r="D44" s="0" t="s">
        <v>165</v>
      </c>
      <c r="E44" s="11" t="s">
        <v>166</v>
      </c>
      <c r="F44" s="11"/>
      <c r="G44" s="0" t="s">
        <v>167</v>
      </c>
      <c r="H44" s="11" t="s">
        <v>168</v>
      </c>
      <c r="I44" s="11"/>
      <c r="J44" s="11"/>
      <c r="K44" s="11" t="s">
        <v>169</v>
      </c>
      <c r="L44" s="11"/>
      <c r="M44" s="11"/>
    </row>
    <row r="45" customFormat="false" ht="15" hidden="false" customHeight="false" outlineLevel="0" collapsed="false">
      <c r="B45" s="45"/>
      <c r="C45" s="45"/>
      <c r="E45" s="12"/>
      <c r="F45" s="12"/>
      <c r="H45" s="12"/>
      <c r="I45" s="12"/>
      <c r="J45" s="12"/>
      <c r="K45" s="12"/>
      <c r="L45" s="12"/>
      <c r="M45" s="12"/>
    </row>
    <row r="46" customFormat="false" ht="15" hidden="false" customHeight="false" outlineLevel="0" collapsed="false">
      <c r="A46" s="0" t="s">
        <v>574</v>
      </c>
      <c r="B46" s="34" t="s">
        <v>89</v>
      </c>
      <c r="C46" s="0" t="s">
        <v>90</v>
      </c>
      <c r="D46" s="0" t="s">
        <v>91</v>
      </c>
      <c r="E46" s="0" t="s">
        <v>92</v>
      </c>
      <c r="F46" s="0" t="s">
        <v>93</v>
      </c>
      <c r="G46" s="12" t="s">
        <v>94</v>
      </c>
      <c r="H46" s="12" t="s">
        <v>95</v>
      </c>
      <c r="I46" s="12" t="s">
        <v>96</v>
      </c>
      <c r="J46" s="11" t="s">
        <v>97</v>
      </c>
      <c r="K46" s="11"/>
    </row>
    <row r="47" customFormat="false" ht="15" hidden="false" customHeight="false" outlineLevel="0" collapsed="false">
      <c r="A47" s="0" t="s">
        <v>575</v>
      </c>
      <c r="B47" s="34" t="s">
        <v>576</v>
      </c>
      <c r="C47" s="32"/>
      <c r="D47" s="32"/>
      <c r="E47" s="32"/>
    </row>
    <row r="48" customFormat="false" ht="15" hidden="false" customHeight="false" outlineLevel="0" collapsed="false">
      <c r="B48" s="34" t="s">
        <v>577</v>
      </c>
      <c r="G48" s="12"/>
      <c r="H48" s="12"/>
      <c r="I48" s="12"/>
      <c r="J48" s="12"/>
      <c r="K48" s="12"/>
    </row>
    <row r="49" customFormat="false" ht="15" hidden="false" customHeight="false" outlineLevel="0" collapsed="false">
      <c r="A49" s="29" t="s">
        <v>578</v>
      </c>
      <c r="B49" s="10" t="s">
        <v>173</v>
      </c>
    </row>
    <row r="50" customFormat="false" ht="15" hidden="false" customHeight="false" outlineLevel="0" collapsed="false">
      <c r="A50" s="0" t="s">
        <v>579</v>
      </c>
      <c r="B50" s="10" t="s">
        <v>175</v>
      </c>
      <c r="C50" s="10"/>
      <c r="D50" s="11" t="s">
        <v>176</v>
      </c>
      <c r="E50" s="11"/>
      <c r="F50" s="11" t="s">
        <v>177</v>
      </c>
      <c r="G50" s="11"/>
      <c r="H50" s="11" t="s">
        <v>178</v>
      </c>
      <c r="I50" s="11"/>
      <c r="J50" s="11" t="s">
        <v>179</v>
      </c>
      <c r="K50" s="11"/>
      <c r="L50" s="11" t="s">
        <v>180</v>
      </c>
      <c r="M50" s="11"/>
      <c r="N50" s="11" t="s">
        <v>181</v>
      </c>
      <c r="O50" s="11"/>
      <c r="P50" s="11"/>
      <c r="Q50" s="11" t="s">
        <v>182</v>
      </c>
      <c r="R50" s="11"/>
      <c r="S50" s="11" t="s">
        <v>183</v>
      </c>
      <c r="T50" s="11"/>
    </row>
    <row r="51" customFormat="false" ht="15" hidden="false" customHeight="false" outlineLevel="0" collapsed="false">
      <c r="B51" s="16"/>
      <c r="C51" s="16"/>
      <c r="D51" s="12" t="s">
        <v>184</v>
      </c>
      <c r="E51" s="12"/>
      <c r="F51" s="11" t="s">
        <v>185</v>
      </c>
      <c r="G51" s="11"/>
      <c r="H51" s="11" t="s">
        <v>186</v>
      </c>
      <c r="I51" s="11"/>
      <c r="J51" s="11" t="s">
        <v>187</v>
      </c>
      <c r="K51" s="11"/>
      <c r="L51" s="11" t="s">
        <v>188</v>
      </c>
      <c r="M51" s="11"/>
      <c r="N51" s="11" t="s">
        <v>189</v>
      </c>
      <c r="O51" s="11"/>
      <c r="P51" s="11" t="s">
        <v>190</v>
      </c>
      <c r="Q51" s="11"/>
      <c r="R51" s="11" t="s">
        <v>191</v>
      </c>
      <c r="S51" s="11"/>
    </row>
    <row r="52" customFormat="false" ht="15" hidden="false" customHeight="false" outlineLevel="0" collapsed="false">
      <c r="A52" s="0" t="s">
        <v>580</v>
      </c>
      <c r="B52" s="10" t="s">
        <v>193</v>
      </c>
      <c r="C52" s="10"/>
      <c r="D52" s="46"/>
      <c r="E52" s="46"/>
      <c r="F52" s="46"/>
    </row>
    <row r="53" customFormat="false" ht="15" hidden="false" customHeight="false" outlineLevel="0" collapsed="false">
      <c r="A53" s="0" t="s">
        <v>581</v>
      </c>
      <c r="B53" s="10" t="s">
        <v>195</v>
      </c>
      <c r="C53" s="10"/>
      <c r="D53" s="46"/>
      <c r="E53" s="46"/>
      <c r="F53" s="46"/>
    </row>
    <row r="54" customFormat="false" ht="15" hidden="false" customHeight="false" outlineLevel="0" collapsed="false">
      <c r="A54" s="0" t="s">
        <v>582</v>
      </c>
      <c r="B54" s="10" t="s">
        <v>197</v>
      </c>
      <c r="C54" s="10"/>
      <c r="D54" s="46"/>
      <c r="E54" s="46"/>
      <c r="F54" s="46"/>
      <c r="G54" s="16"/>
    </row>
    <row r="55" customFormat="false" ht="15" hidden="false" customHeight="false" outlineLevel="0" collapsed="false">
      <c r="A55" s="0" t="s">
        <v>583</v>
      </c>
      <c r="B55" s="10" t="s">
        <v>199</v>
      </c>
      <c r="C55" s="34"/>
      <c r="D55" s="32"/>
      <c r="E55" s="32"/>
      <c r="F55" s="32"/>
    </row>
    <row r="56" customFormat="false" ht="15" hidden="false" customHeight="false" outlineLevel="0" collapsed="false">
      <c r="B56" s="10" t="s">
        <v>205</v>
      </c>
      <c r="D56" s="0" t="s">
        <v>206</v>
      </c>
      <c r="E56" s="0" t="s">
        <v>207</v>
      </c>
      <c r="F56" s="0" t="s">
        <v>208</v>
      </c>
    </row>
    <row r="57" customFormat="false" ht="15" hidden="false" customHeight="false" outlineLevel="0" collapsed="false">
      <c r="A57" s="33" t="s">
        <v>584</v>
      </c>
      <c r="B57" s="10" t="s">
        <v>212</v>
      </c>
      <c r="C57" s="34"/>
      <c r="D57" s="34"/>
      <c r="E57" s="12" t="s">
        <v>20</v>
      </c>
      <c r="F57" s="12" t="s">
        <v>21</v>
      </c>
      <c r="G57" s="12" t="s">
        <v>213</v>
      </c>
      <c r="H57" s="12" t="s">
        <v>214</v>
      </c>
      <c r="I57" s="12"/>
      <c r="J57" s="12"/>
      <c r="K57" s="12"/>
    </row>
    <row r="58" customFormat="false" ht="15" hidden="false" customHeight="false" outlineLevel="0" collapsed="false">
      <c r="A58" s="0" t="s">
        <v>585</v>
      </c>
      <c r="B58" s="10" t="s">
        <v>217</v>
      </c>
      <c r="C58" s="34"/>
      <c r="D58" s="34"/>
      <c r="E58" s="34"/>
      <c r="F58" s="0" t="s">
        <v>20</v>
      </c>
      <c r="G58" s="0" t="s">
        <v>21</v>
      </c>
      <c r="H58" s="0" t="s">
        <v>80</v>
      </c>
      <c r="I58" s="11" t="s">
        <v>213</v>
      </c>
      <c r="J58" s="11"/>
    </row>
    <row r="59" customFormat="false" ht="15" hidden="false" customHeight="false" outlineLevel="0" collapsed="false">
      <c r="A59" s="0" t="s">
        <v>586</v>
      </c>
      <c r="B59" s="10" t="s">
        <v>219</v>
      </c>
      <c r="C59" s="34"/>
      <c r="D59" s="11" t="s">
        <v>220</v>
      </c>
      <c r="E59" s="11"/>
      <c r="F59" s="12" t="s">
        <v>221</v>
      </c>
      <c r="G59" s="11" t="s">
        <v>222</v>
      </c>
      <c r="H59" s="11"/>
    </row>
    <row r="60" customFormat="false" ht="15" hidden="false" customHeight="false" outlineLevel="0" collapsed="false">
      <c r="A60" s="0" t="s">
        <v>587</v>
      </c>
      <c r="B60" s="34" t="s">
        <v>224</v>
      </c>
      <c r="C60" s="34"/>
      <c r="D60" s="29" t="s">
        <v>225</v>
      </c>
    </row>
    <row r="61" customFormat="false" ht="15" hidden="false" customHeight="false" outlineLevel="0" collapsed="false">
      <c r="A61" s="0" t="s">
        <v>588</v>
      </c>
      <c r="B61" s="34" t="s">
        <v>228</v>
      </c>
      <c r="C61" s="34"/>
      <c r="D61" s="34"/>
      <c r="E61" s="0" t="s">
        <v>20</v>
      </c>
      <c r="F61" s="0" t="s">
        <v>21</v>
      </c>
      <c r="G61" s="0" t="s">
        <v>229</v>
      </c>
      <c r="H61" s="0" t="s">
        <v>589</v>
      </c>
    </row>
    <row r="62" customFormat="false" ht="15" hidden="false" customHeight="false" outlineLevel="0" collapsed="false">
      <c r="A62" s="0" t="s">
        <v>590</v>
      </c>
      <c r="B62" s="34" t="s">
        <v>239</v>
      </c>
      <c r="C62" s="34"/>
      <c r="D62" s="0" t="s">
        <v>20</v>
      </c>
      <c r="E62" s="0" t="s">
        <v>21</v>
      </c>
      <c r="F62" s="0" t="s">
        <v>589</v>
      </c>
    </row>
    <row r="63" customFormat="false" ht="15" hidden="false" customHeight="false" outlineLevel="0" collapsed="false">
      <c r="A63" s="0" t="s">
        <v>591</v>
      </c>
      <c r="B63" s="34" t="s">
        <v>242</v>
      </c>
      <c r="C63" s="34"/>
      <c r="D63" s="34"/>
      <c r="E63" s="34"/>
      <c r="F63" s="0" t="s">
        <v>20</v>
      </c>
      <c r="G63" s="0" t="s">
        <v>21</v>
      </c>
      <c r="H63" s="11" t="s">
        <v>243</v>
      </c>
      <c r="I63" s="11"/>
    </row>
    <row r="64" customFormat="false" ht="15" hidden="false" customHeight="false" outlineLevel="0" collapsed="false">
      <c r="A64" s="0" t="s">
        <v>592</v>
      </c>
      <c r="B64" s="34" t="s">
        <v>245</v>
      </c>
      <c r="C64" s="34"/>
      <c r="D64" s="11" t="s">
        <v>246</v>
      </c>
      <c r="E64" s="11"/>
      <c r="F64" s="0" t="s">
        <v>247</v>
      </c>
      <c r="G64" s="12" t="s">
        <v>248</v>
      </c>
      <c r="H64" s="11" t="s">
        <v>249</v>
      </c>
      <c r="I64" s="11"/>
      <c r="J64" s="11" t="s">
        <v>250</v>
      </c>
      <c r="K64" s="11"/>
      <c r="L64" s="11"/>
      <c r="M64" s="11" t="s">
        <v>251</v>
      </c>
      <c r="N64" s="11"/>
      <c r="O64" s="11"/>
      <c r="P64" s="11" t="s">
        <v>252</v>
      </c>
      <c r="Q64" s="11"/>
      <c r="R64" s="11"/>
    </row>
    <row r="65" customFormat="false" ht="15" hidden="false" customHeight="false" outlineLevel="0" collapsed="false">
      <c r="A65" s="0" t="s">
        <v>593</v>
      </c>
      <c r="B65" s="34" t="s">
        <v>254</v>
      </c>
      <c r="C65" s="34"/>
      <c r="D65" s="18"/>
      <c r="E65" s="12" t="s">
        <v>20</v>
      </c>
      <c r="F65" s="12" t="s">
        <v>21</v>
      </c>
      <c r="G65" s="12" t="s">
        <v>589</v>
      </c>
      <c r="H65" s="12"/>
      <c r="I65" s="12"/>
      <c r="J65" s="12"/>
      <c r="K65" s="12"/>
      <c r="L65" s="12"/>
      <c r="M65" s="12"/>
      <c r="N65" s="12"/>
      <c r="O65" s="12"/>
    </row>
    <row r="66" customFormat="false" ht="15" hidden="false" customHeight="false" outlineLevel="0" collapsed="false">
      <c r="A66" s="0" t="s">
        <v>594</v>
      </c>
      <c r="B66" s="34" t="s">
        <v>256</v>
      </c>
      <c r="C66" s="34"/>
      <c r="D66" s="41" t="s">
        <v>257</v>
      </c>
      <c r="E66" s="31" t="s">
        <v>258</v>
      </c>
      <c r="F66" s="31"/>
      <c r="G66" s="11" t="s">
        <v>259</v>
      </c>
      <c r="H66" s="11"/>
      <c r="I66" s="11" t="s">
        <v>260</v>
      </c>
      <c r="J66" s="11"/>
      <c r="K66" s="11"/>
      <c r="L66" s="11" t="s">
        <v>261</v>
      </c>
      <c r="M66" s="11"/>
    </row>
    <row r="67" customFormat="false" ht="15" hidden="false" customHeight="false" outlineLevel="0" collapsed="false">
      <c r="A67" s="0" t="s">
        <v>595</v>
      </c>
      <c r="B67" s="34" t="s">
        <v>263</v>
      </c>
      <c r="C67" s="34"/>
      <c r="D67" s="0" t="s">
        <v>20</v>
      </c>
      <c r="E67" s="32" t="s">
        <v>21</v>
      </c>
    </row>
    <row r="68" customFormat="false" ht="15" hidden="false" customHeight="false" outlineLevel="0" collapsed="false">
      <c r="A68" s="0" t="s">
        <v>596</v>
      </c>
      <c r="B68" s="34" t="s">
        <v>265</v>
      </c>
      <c r="C68" s="34"/>
      <c r="D68" s="0" t="s">
        <v>20</v>
      </c>
      <c r="E68" s="0" t="s">
        <v>21</v>
      </c>
    </row>
    <row r="69" customFormat="false" ht="15" hidden="false" customHeight="false" outlineLevel="0" collapsed="false">
      <c r="A69" s="0" t="s">
        <v>597</v>
      </c>
      <c r="B69" s="34" t="s">
        <v>267</v>
      </c>
      <c r="C69" s="34"/>
    </row>
    <row r="70" customFormat="false" ht="15" hidden="false" customHeight="false" outlineLevel="0" collapsed="false">
      <c r="A70" s="0" t="s">
        <v>598</v>
      </c>
      <c r="B70" s="34" t="s">
        <v>269</v>
      </c>
      <c r="C70" s="34"/>
      <c r="D70" s="0" t="s">
        <v>61</v>
      </c>
      <c r="E70" s="0" t="n">
        <v>15</v>
      </c>
      <c r="F70" s="0" t="n">
        <v>16</v>
      </c>
      <c r="G70" s="0" t="n">
        <v>17</v>
      </c>
      <c r="H70" s="0" t="n">
        <v>20</v>
      </c>
      <c r="I70" s="12" t="s">
        <v>74</v>
      </c>
      <c r="J70" s="0" t="n">
        <v>26</v>
      </c>
      <c r="K70" s="0" t="n">
        <v>27</v>
      </c>
      <c r="L70" s="12" t="s">
        <v>75</v>
      </c>
      <c r="M70" s="0" t="n">
        <v>29</v>
      </c>
      <c r="N70" s="0" t="n">
        <v>33</v>
      </c>
      <c r="O70" s="0" t="n">
        <v>34</v>
      </c>
    </row>
    <row r="71" customFormat="false" ht="15" hidden="false" customHeight="false" outlineLevel="0" collapsed="false">
      <c r="A71" s="0" t="s">
        <v>599</v>
      </c>
      <c r="B71" s="34" t="s">
        <v>271</v>
      </c>
      <c r="C71" s="34"/>
      <c r="D71" s="0" t="s">
        <v>57</v>
      </c>
      <c r="E71" s="11" t="s">
        <v>272</v>
      </c>
      <c r="F71" s="11"/>
      <c r="G71" s="11" t="s">
        <v>63</v>
      </c>
      <c r="H71" s="11"/>
      <c r="I71" s="11" t="s">
        <v>64</v>
      </c>
      <c r="J71" s="11"/>
      <c r="K71" s="12" t="s">
        <v>65</v>
      </c>
      <c r="L71" s="11" t="s">
        <v>273</v>
      </c>
      <c r="M71" s="11"/>
      <c r="N71" s="12" t="s">
        <v>274</v>
      </c>
      <c r="O71" s="11" t="s">
        <v>66</v>
      </c>
      <c r="P71" s="11"/>
    </row>
    <row r="72" customFormat="false" ht="15" hidden="false" customHeight="false" outlineLevel="0" collapsed="false">
      <c r="A72" s="0" t="s">
        <v>600</v>
      </c>
      <c r="B72" s="34" t="s">
        <v>276</v>
      </c>
      <c r="C72" s="34"/>
      <c r="D72" s="32"/>
    </row>
    <row r="73" customFormat="false" ht="15" hidden="false" customHeight="false" outlineLevel="0" collapsed="false">
      <c r="A73" s="0" t="s">
        <v>601</v>
      </c>
      <c r="B73" s="34" t="s">
        <v>279</v>
      </c>
      <c r="C73" s="34"/>
      <c r="D73" s="0" t="s">
        <v>20</v>
      </c>
      <c r="E73" s="0" t="s">
        <v>21</v>
      </c>
    </row>
    <row r="74" customFormat="false" ht="15" hidden="false" customHeight="false" outlineLevel="0" collapsed="false">
      <c r="A74" s="0" t="s">
        <v>602</v>
      </c>
      <c r="B74" s="34" t="s">
        <v>281</v>
      </c>
      <c r="C74" s="34"/>
      <c r="D74" s="11" t="s">
        <v>233</v>
      </c>
      <c r="E74" s="11"/>
      <c r="F74" s="11"/>
      <c r="G74" s="11" t="s">
        <v>282</v>
      </c>
      <c r="H74" s="11"/>
      <c r="I74" s="11"/>
      <c r="J74" s="11" t="s">
        <v>236</v>
      </c>
      <c r="K74" s="11"/>
      <c r="L74" s="11" t="s">
        <v>249</v>
      </c>
      <c r="M74" s="11"/>
      <c r="N74" s="11"/>
      <c r="O74" s="11" t="s">
        <v>250</v>
      </c>
      <c r="P74" s="11"/>
      <c r="Q74" s="11"/>
      <c r="R74" s="11" t="s">
        <v>283</v>
      </c>
      <c r="S74" s="11"/>
      <c r="T74" s="0" t="s">
        <v>284</v>
      </c>
    </row>
    <row r="75" customFormat="false" ht="15" hidden="false" customHeight="false" outlineLevel="0" collapsed="false">
      <c r="A75" s="0" t="s">
        <v>603</v>
      </c>
      <c r="B75" s="34" t="s">
        <v>286</v>
      </c>
      <c r="C75" s="11" t="s">
        <v>287</v>
      </c>
      <c r="D75" s="11"/>
      <c r="E75" s="12" t="s">
        <v>274</v>
      </c>
      <c r="F75" s="11" t="s">
        <v>288</v>
      </c>
      <c r="G75" s="11"/>
      <c r="H75" s="11" t="s">
        <v>289</v>
      </c>
      <c r="I75" s="11"/>
      <c r="J75" s="11"/>
      <c r="K75" s="11"/>
      <c r="L75" s="11" t="s">
        <v>290</v>
      </c>
      <c r="M75" s="11"/>
      <c r="N75" s="11"/>
      <c r="O75" s="11"/>
      <c r="P75" s="11" t="s">
        <v>291</v>
      </c>
      <c r="Q75" s="11"/>
      <c r="R75" s="11"/>
      <c r="S75" s="11"/>
      <c r="T75" s="11"/>
    </row>
    <row r="76" customFormat="false" ht="15" hidden="false" customHeight="false" outlineLevel="0" collapsed="false">
      <c r="A76" s="0" t="s">
        <v>604</v>
      </c>
      <c r="B76" s="34" t="s">
        <v>293</v>
      </c>
      <c r="C76" s="34"/>
    </row>
    <row r="77" customFormat="false" ht="15" hidden="false" customHeight="false" outlineLevel="0" collapsed="false">
      <c r="B77" s="34" t="s">
        <v>306</v>
      </c>
      <c r="D77" s="0" t="s">
        <v>307</v>
      </c>
      <c r="E77" s="0" t="s">
        <v>308</v>
      </c>
      <c r="H77" s="0" t="s">
        <v>309</v>
      </c>
    </row>
    <row r="78" customFormat="false" ht="15" hidden="false" customHeight="false" outlineLevel="0" collapsed="false">
      <c r="A78" s="0" t="s">
        <v>605</v>
      </c>
      <c r="B78" s="34" t="s">
        <v>311</v>
      </c>
      <c r="C78" s="0" t="s">
        <v>20</v>
      </c>
      <c r="D78" s="32" t="s">
        <v>21</v>
      </c>
      <c r="E78" s="32" t="s">
        <v>312</v>
      </c>
    </row>
    <row r="79" customFormat="false" ht="15" hidden="false" customHeight="false" outlineLevel="0" collapsed="false">
      <c r="A79" s="0" t="s">
        <v>606</v>
      </c>
      <c r="B79" s="34" t="s">
        <v>315</v>
      </c>
      <c r="C79" s="0" t="s">
        <v>316</v>
      </c>
      <c r="D79" s="32" t="s">
        <v>317</v>
      </c>
    </row>
    <row r="80" customFormat="false" ht="15" hidden="false" customHeight="false" outlineLevel="0" collapsed="false">
      <c r="A80" s="0" t="s">
        <v>607</v>
      </c>
      <c r="B80" s="34" t="s">
        <v>319</v>
      </c>
    </row>
    <row r="81" customFormat="false" ht="15" hidden="false" customHeight="false" outlineLevel="0" collapsed="false">
      <c r="A81" s="0" t="s">
        <v>608</v>
      </c>
      <c r="B81" s="34" t="s">
        <v>322</v>
      </c>
    </row>
    <row r="82" customFormat="false" ht="15" hidden="false" customHeight="false" outlineLevel="0" collapsed="false">
      <c r="A82" s="0" t="s">
        <v>609</v>
      </c>
      <c r="B82" s="34" t="s">
        <v>325</v>
      </c>
    </row>
    <row r="83" customFormat="false" ht="15" hidden="false" customHeight="false" outlineLevel="0" collapsed="false">
      <c r="A83" s="0" t="s">
        <v>610</v>
      </c>
      <c r="B83" s="34" t="s">
        <v>297</v>
      </c>
      <c r="C83" s="0" t="s">
        <v>20</v>
      </c>
      <c r="D83" s="32" t="s">
        <v>21</v>
      </c>
    </row>
    <row r="84" customFormat="false" ht="15" hidden="false" customHeight="false" outlineLevel="0" collapsed="false">
      <c r="A84" s="0" t="s">
        <v>611</v>
      </c>
      <c r="B84" s="34" t="s">
        <v>299</v>
      </c>
      <c r="C84" s="0" t="s">
        <v>20</v>
      </c>
      <c r="D84" s="32" t="s">
        <v>21</v>
      </c>
    </row>
    <row r="85" customFormat="false" ht="15" hidden="false" customHeight="false" outlineLevel="0" collapsed="false">
      <c r="A85" s="0" t="s">
        <v>612</v>
      </c>
      <c r="B85" s="34" t="s">
        <v>301</v>
      </c>
      <c r="C85" s="0" t="s">
        <v>20</v>
      </c>
      <c r="D85" s="32" t="s">
        <v>21</v>
      </c>
    </row>
    <row r="86" customFormat="false" ht="15" hidden="false" customHeight="false" outlineLevel="0" collapsed="false">
      <c r="A86" s="0" t="s">
        <v>613</v>
      </c>
      <c r="B86" s="34" t="s">
        <v>303</v>
      </c>
      <c r="C86" s="0" t="s">
        <v>20</v>
      </c>
      <c r="D86" s="0" t="s">
        <v>21</v>
      </c>
    </row>
    <row r="87" customFormat="false" ht="15" hidden="false" customHeight="false" outlineLevel="0" collapsed="false">
      <c r="A87" s="0" t="s">
        <v>614</v>
      </c>
      <c r="B87" s="34" t="s">
        <v>24</v>
      </c>
      <c r="C87" s="0" t="s">
        <v>20</v>
      </c>
      <c r="D87" s="32" t="s">
        <v>21</v>
      </c>
    </row>
    <row r="88" customFormat="false" ht="15" hidden="false" customHeight="false" outlineLevel="0" collapsed="false">
      <c r="A88" s="0" t="s">
        <v>615</v>
      </c>
      <c r="B88" s="34" t="s">
        <v>26</v>
      </c>
      <c r="C88" s="0" t="s">
        <v>27</v>
      </c>
    </row>
    <row r="89" customFormat="false" ht="15" hidden="false" customHeight="false" outlineLevel="0" collapsed="false">
      <c r="A89" s="0" t="s">
        <v>616</v>
      </c>
      <c r="B89" s="34" t="s">
        <v>30</v>
      </c>
      <c r="C89" s="0" t="s">
        <v>27</v>
      </c>
    </row>
    <row r="90" customFormat="false" ht="15" hidden="false" customHeight="false" outlineLevel="0" collapsed="false">
      <c r="A90" s="0" t="s">
        <v>617</v>
      </c>
      <c r="B90" s="34" t="s">
        <v>32</v>
      </c>
      <c r="C90" s="0" t="s">
        <v>27</v>
      </c>
    </row>
    <row r="91" customFormat="false" ht="15" hidden="false" customHeight="false" outlineLevel="0" collapsed="false">
      <c r="A91" s="0" t="s">
        <v>618</v>
      </c>
      <c r="B91" s="34" t="s">
        <v>34</v>
      </c>
      <c r="C91" s="11" t="s">
        <v>35</v>
      </c>
      <c r="D91" s="11"/>
      <c r="E91" s="12" t="s">
        <v>36</v>
      </c>
      <c r="F91" s="11" t="s">
        <v>37</v>
      </c>
      <c r="G91" s="11"/>
    </row>
    <row r="92" customFormat="false" ht="15" hidden="false" customHeight="false" outlineLevel="0" collapsed="false">
      <c r="A92" s="33" t="s">
        <v>619</v>
      </c>
      <c r="B92" s="15" t="s">
        <v>40</v>
      </c>
      <c r="C92" s="11" t="s">
        <v>41</v>
      </c>
      <c r="D92" s="11"/>
      <c r="E92" s="11" t="s">
        <v>42</v>
      </c>
      <c r="F92" s="11"/>
      <c r="G92" s="11"/>
      <c r="H92" s="12" t="s">
        <v>43</v>
      </c>
    </row>
    <row r="93" customFormat="false" ht="15" hidden="false" customHeight="false" outlineLevel="0" collapsed="false">
      <c r="A93" s="33" t="s">
        <v>620</v>
      </c>
      <c r="B93" s="15" t="s">
        <v>48</v>
      </c>
      <c r="C93" s="12" t="s">
        <v>20</v>
      </c>
      <c r="D93" s="12" t="s">
        <v>21</v>
      </c>
      <c r="E93" s="12"/>
      <c r="F93" s="12"/>
      <c r="G93" s="12"/>
      <c r="H93" s="12"/>
    </row>
    <row r="94" customFormat="false" ht="15" hidden="false" customHeight="false" outlineLevel="0" collapsed="false">
      <c r="A94" s="0" t="s">
        <v>621</v>
      </c>
      <c r="B94" s="34" t="s">
        <v>328</v>
      </c>
      <c r="C94" s="32" t="s">
        <v>20</v>
      </c>
      <c r="D94" s="32" t="s">
        <v>21</v>
      </c>
    </row>
    <row r="95" customFormat="false" ht="15" hidden="false" customHeight="false" outlineLevel="0" collapsed="false">
      <c r="A95" s="0" t="s">
        <v>622</v>
      </c>
      <c r="B95" s="34" t="s">
        <v>330</v>
      </c>
      <c r="C95" s="32"/>
    </row>
    <row r="96" customFormat="false" ht="15" hidden="false" customHeight="false" outlineLevel="0" collapsed="false">
      <c r="A96" s="0" t="s">
        <v>623</v>
      </c>
      <c r="B96" s="34" t="s">
        <v>346</v>
      </c>
      <c r="C96" s="32"/>
    </row>
    <row r="97" customFormat="false" ht="15" hidden="false" customHeight="false" outlineLevel="0" collapsed="false">
      <c r="A97" s="0" t="s">
        <v>624</v>
      </c>
      <c r="B97" s="34" t="s">
        <v>348</v>
      </c>
      <c r="C97" s="32"/>
    </row>
    <row r="98" customFormat="false" ht="15" hidden="false" customHeight="false" outlineLevel="0" collapsed="false">
      <c r="A98" s="0" t="s">
        <v>625</v>
      </c>
      <c r="B98" s="34" t="s">
        <v>350</v>
      </c>
    </row>
    <row r="99" customFormat="false" ht="15" hidden="false" customHeight="false" outlineLevel="0" collapsed="false">
      <c r="A99" s="0" t="s">
        <v>626</v>
      </c>
      <c r="B99" s="34" t="s">
        <v>352</v>
      </c>
    </row>
    <row r="100" customFormat="false" ht="15" hidden="false" customHeight="false" outlineLevel="0" collapsed="false">
      <c r="A100" s="0" t="s">
        <v>627</v>
      </c>
      <c r="B100" s="34" t="s">
        <v>332</v>
      </c>
      <c r="C100" s="0" t="n">
        <v>0</v>
      </c>
      <c r="D100" s="0" t="n">
        <v>1</v>
      </c>
      <c r="E100" s="0" t="n">
        <v>2</v>
      </c>
      <c r="F100" s="0" t="n">
        <v>3</v>
      </c>
      <c r="G100" s="0" t="n">
        <v>4</v>
      </c>
      <c r="H100" s="0" t="n">
        <v>5</v>
      </c>
    </row>
    <row r="101" customFormat="false" ht="15" hidden="false" customHeight="false" outlineLevel="0" collapsed="false">
      <c r="A101" s="0" t="s">
        <v>628</v>
      </c>
      <c r="B101" s="34" t="s">
        <v>354</v>
      </c>
    </row>
    <row r="102" customFormat="false" ht="15" hidden="false" customHeight="false" outlineLevel="0" collapsed="false">
      <c r="A102" s="0" t="s">
        <v>629</v>
      </c>
      <c r="B102" s="34" t="s">
        <v>356</v>
      </c>
      <c r="C102" s="12" t="s">
        <v>20</v>
      </c>
      <c r="D102" s="12" t="s">
        <v>21</v>
      </c>
      <c r="E102" s="12" t="s">
        <v>357</v>
      </c>
      <c r="F102" s="11" t="s">
        <v>358</v>
      </c>
      <c r="G102" s="11"/>
      <c r="H102" s="12" t="s">
        <v>359</v>
      </c>
    </row>
    <row r="103" customFormat="false" ht="15" hidden="false" customHeight="false" outlineLevel="0" collapsed="false">
      <c r="B103" s="34" t="s">
        <v>334</v>
      </c>
    </row>
    <row r="104" customFormat="false" ht="15" hidden="false" customHeight="false" outlineLevel="0" collapsed="false">
      <c r="A104" s="0" t="s">
        <v>630</v>
      </c>
      <c r="B104" s="34" t="s">
        <v>361</v>
      </c>
      <c r="C104" s="11" t="s">
        <v>362</v>
      </c>
      <c r="D104" s="11"/>
      <c r="E104" s="11" t="s">
        <v>363</v>
      </c>
      <c r="F104" s="11"/>
      <c r="G104" s="11"/>
      <c r="H104" s="11" t="s">
        <v>364</v>
      </c>
      <c r="I104" s="11"/>
      <c r="J104" s="11"/>
      <c r="K104" s="11"/>
      <c r="L104" s="11"/>
      <c r="M104" s="11" t="s">
        <v>365</v>
      </c>
      <c r="N104" s="11"/>
      <c r="O104" s="11"/>
      <c r="P104" s="0" t="s">
        <v>11</v>
      </c>
    </row>
    <row r="105" customFormat="false" ht="15" hidden="false" customHeight="false" outlineLevel="0" collapsed="false">
      <c r="A105" s="0" t="s">
        <v>631</v>
      </c>
      <c r="B105" s="34" t="s">
        <v>367</v>
      </c>
      <c r="C105" s="0" t="s">
        <v>20</v>
      </c>
      <c r="D105" s="0" t="s">
        <v>21</v>
      </c>
      <c r="E105" s="32"/>
      <c r="F105" s="32"/>
    </row>
    <row r="106" customFormat="false" ht="15" hidden="false" customHeight="false" outlineLevel="0" collapsed="false">
      <c r="A106" s="0" t="s">
        <v>632</v>
      </c>
      <c r="B106" s="34" t="s">
        <v>370</v>
      </c>
      <c r="C106" s="0" t="s">
        <v>20</v>
      </c>
      <c r="D106" s="0" t="s">
        <v>21</v>
      </c>
      <c r="G106" s="12"/>
      <c r="H106" s="12"/>
      <c r="I106" s="12"/>
      <c r="J106" s="12"/>
      <c r="K106" s="12"/>
    </row>
    <row r="107" customFormat="false" ht="15" hidden="false" customHeight="false" outlineLevel="0" collapsed="false">
      <c r="A107" s="0" t="s">
        <v>633</v>
      </c>
      <c r="B107" s="34" t="s">
        <v>372</v>
      </c>
      <c r="C107" s="0" t="s">
        <v>20</v>
      </c>
      <c r="D107" s="0" t="s">
        <v>21</v>
      </c>
      <c r="G107" s="12"/>
      <c r="H107" s="12"/>
      <c r="I107" s="12"/>
      <c r="J107" s="12"/>
      <c r="K107" s="12"/>
    </row>
    <row r="108" customFormat="false" ht="15" hidden="false" customHeight="false" outlineLevel="0" collapsed="false">
      <c r="A108" s="0" t="s">
        <v>634</v>
      </c>
      <c r="B108" s="34" t="s">
        <v>374</v>
      </c>
      <c r="C108" s="0" t="s">
        <v>20</v>
      </c>
      <c r="D108" s="0" t="s">
        <v>21</v>
      </c>
    </row>
    <row r="109" customFormat="false" ht="15" hidden="false" customHeight="false" outlineLevel="0" collapsed="false">
      <c r="A109" s="0" t="s">
        <v>635</v>
      </c>
      <c r="B109" s="34" t="s">
        <v>376</v>
      </c>
      <c r="C109" s="0" t="s">
        <v>20</v>
      </c>
      <c r="D109" s="0" t="s">
        <v>21</v>
      </c>
    </row>
    <row r="110" customFormat="false" ht="15" hidden="false" customHeight="false" outlineLevel="0" collapsed="false">
      <c r="A110" s="0" t="s">
        <v>636</v>
      </c>
      <c r="B110" s="34" t="s">
        <v>378</v>
      </c>
      <c r="C110" s="33"/>
      <c r="D110" s="33" t="s">
        <v>379</v>
      </c>
      <c r="E110" s="0" t="s">
        <v>380</v>
      </c>
      <c r="G110" s="0" t="s">
        <v>96</v>
      </c>
      <c r="H110" s="0" t="s">
        <v>381</v>
      </c>
    </row>
    <row r="111" customFormat="false" ht="15" hidden="false" customHeight="false" outlineLevel="0" collapsed="false">
      <c r="A111" s="29" t="s">
        <v>637</v>
      </c>
      <c r="B111" s="34" t="s">
        <v>383</v>
      </c>
      <c r="C111" s="32"/>
      <c r="D111" s="32"/>
      <c r="E111" s="11" t="s">
        <v>176</v>
      </c>
      <c r="F111" s="11"/>
      <c r="G111" s="11" t="s">
        <v>177</v>
      </c>
      <c r="H111" s="11"/>
      <c r="I111" s="11" t="s">
        <v>178</v>
      </c>
      <c r="J111" s="11"/>
      <c r="K111" s="11" t="s">
        <v>179</v>
      </c>
      <c r="L111" s="11"/>
      <c r="M111" s="11" t="s">
        <v>180</v>
      </c>
      <c r="N111" s="11"/>
      <c r="O111" s="11" t="s">
        <v>181</v>
      </c>
      <c r="P111" s="11"/>
      <c r="Q111" s="11"/>
      <c r="R111" s="11" t="s">
        <v>182</v>
      </c>
      <c r="S111" s="11"/>
      <c r="T111" s="11" t="s">
        <v>183</v>
      </c>
      <c r="U111" s="11"/>
    </row>
    <row r="112" customFormat="false" ht="15" hidden="false" customHeight="false" outlineLevel="0" collapsed="false">
      <c r="B112" s="34"/>
      <c r="E112" s="12" t="s">
        <v>184</v>
      </c>
      <c r="F112" s="12"/>
      <c r="G112" s="11" t="s">
        <v>185</v>
      </c>
      <c r="H112" s="11"/>
      <c r="I112" s="11" t="s">
        <v>186</v>
      </c>
      <c r="J112" s="11"/>
      <c r="K112" s="11" t="s">
        <v>187</v>
      </c>
      <c r="L112" s="11"/>
      <c r="M112" s="11" t="s">
        <v>188</v>
      </c>
      <c r="N112" s="11"/>
      <c r="O112" s="11" t="s">
        <v>189</v>
      </c>
      <c r="P112" s="11"/>
      <c r="Q112" s="11" t="s">
        <v>190</v>
      </c>
      <c r="R112" s="11"/>
      <c r="S112" s="11" t="s">
        <v>191</v>
      </c>
      <c r="T112" s="11"/>
    </row>
    <row r="113" customFormat="false" ht="15" hidden="false" customHeight="false" outlineLevel="0" collapsed="false">
      <c r="A113" s="0" t="s">
        <v>638</v>
      </c>
      <c r="B113" s="34" t="s">
        <v>385</v>
      </c>
      <c r="C113" s="11" t="s">
        <v>386</v>
      </c>
      <c r="D113" s="11"/>
      <c r="E113" s="11" t="s">
        <v>387</v>
      </c>
      <c r="F113" s="11"/>
      <c r="G113" s="11" t="s">
        <v>379</v>
      </c>
      <c r="H113" s="11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</row>
    <row r="114" customFormat="false" ht="15" hidden="false" customHeight="false" outlineLevel="0" collapsed="false">
      <c r="A114" s="0" t="s">
        <v>639</v>
      </c>
      <c r="B114" s="34" t="s">
        <v>389</v>
      </c>
      <c r="C114" s="11" t="s">
        <v>390</v>
      </c>
      <c r="D114" s="11"/>
      <c r="E114" s="12" t="s">
        <v>391</v>
      </c>
      <c r="F114" s="11" t="s">
        <v>392</v>
      </c>
      <c r="G114" s="11"/>
      <c r="H114" s="11" t="s">
        <v>393</v>
      </c>
      <c r="I114" s="11"/>
      <c r="J114" s="11"/>
      <c r="K114" s="11" t="s">
        <v>394</v>
      </c>
      <c r="L114" s="11"/>
      <c r="M114" s="11" t="s">
        <v>283</v>
      </c>
      <c r="N114" s="11"/>
      <c r="O114" s="11"/>
      <c r="P114" s="12"/>
      <c r="Q114" s="12"/>
      <c r="R114" s="12"/>
      <c r="S114" s="12"/>
      <c r="T114" s="12"/>
    </row>
    <row r="115" customFormat="false" ht="15" hidden="false" customHeight="false" outlineLevel="0" collapsed="false">
      <c r="A115" s="0" t="s">
        <v>640</v>
      </c>
      <c r="B115" s="34" t="s">
        <v>396</v>
      </c>
      <c r="C115" s="32"/>
    </row>
    <row r="116" customFormat="false" ht="15" hidden="false" customHeight="false" outlineLevel="0" collapsed="false">
      <c r="A116" s="0" t="s">
        <v>641</v>
      </c>
      <c r="B116" s="34" t="s">
        <v>398</v>
      </c>
      <c r="C116" s="32"/>
      <c r="D116" s="32"/>
      <c r="E116" s="32"/>
    </row>
    <row r="117" customFormat="false" ht="15" hidden="false" customHeight="false" outlineLevel="0" collapsed="false">
      <c r="A117" s="0" t="s">
        <v>642</v>
      </c>
      <c r="B117" s="34" t="s">
        <v>400</v>
      </c>
      <c r="C117" s="32"/>
      <c r="D117" s="32"/>
      <c r="E117" s="32"/>
    </row>
    <row r="118" customFormat="false" ht="15" hidden="false" customHeight="false" outlineLevel="0" collapsed="false">
      <c r="A118" s="0" t="s">
        <v>643</v>
      </c>
      <c r="B118" s="34" t="s">
        <v>429</v>
      </c>
      <c r="C118" s="16" t="s">
        <v>430</v>
      </c>
      <c r="D118" s="16"/>
      <c r="E118" s="16" t="s">
        <v>431</v>
      </c>
      <c r="F118" s="16"/>
    </row>
    <row r="119" customFormat="false" ht="15" hidden="false" customHeight="false" outlineLevel="0" collapsed="false">
      <c r="A119" s="0" t="s">
        <v>644</v>
      </c>
      <c r="B119" s="34" t="s">
        <v>645</v>
      </c>
      <c r="C119" s="32"/>
    </row>
    <row r="120" customFormat="false" ht="15" hidden="false" customHeight="false" outlineLevel="0" collapsed="false">
      <c r="A120" s="0" t="s">
        <v>646</v>
      </c>
      <c r="B120" s="34" t="s">
        <v>402</v>
      </c>
      <c r="C120" s="11" t="s">
        <v>403</v>
      </c>
      <c r="D120" s="11"/>
      <c r="E120" s="12" t="s">
        <v>404</v>
      </c>
      <c r="F120" s="11" t="s">
        <v>405</v>
      </c>
      <c r="G120" s="11"/>
      <c r="H120" s="11" t="s">
        <v>406</v>
      </c>
      <c r="I120" s="11"/>
      <c r="J120" s="11" t="s">
        <v>407</v>
      </c>
      <c r="K120" s="11"/>
      <c r="L120" s="12" t="s">
        <v>96</v>
      </c>
      <c r="M120" s="12" t="s">
        <v>408</v>
      </c>
      <c r="N120" s="11" t="s">
        <v>409</v>
      </c>
      <c r="O120" s="11"/>
    </row>
    <row r="121" customFormat="false" ht="15" hidden="false" customHeight="false" outlineLevel="0" collapsed="false">
      <c r="A121" s="0" t="s">
        <v>647</v>
      </c>
      <c r="B121" s="34" t="s">
        <v>435</v>
      </c>
      <c r="C121" s="32"/>
      <c r="D121" s="0" t="s">
        <v>20</v>
      </c>
      <c r="E121" s="0" t="s">
        <v>21</v>
      </c>
    </row>
    <row r="122" customFormat="false" ht="15" hidden="false" customHeight="false" outlineLevel="0" collapsed="false">
      <c r="B122" s="34" t="s">
        <v>420</v>
      </c>
      <c r="C122" s="32" t="s">
        <v>20</v>
      </c>
      <c r="D122" s="0" t="s">
        <v>21</v>
      </c>
    </row>
    <row r="123" customFormat="false" ht="15" hidden="false" customHeight="false" outlineLevel="0" collapsed="false">
      <c r="B123" s="0" t="s">
        <v>423</v>
      </c>
    </row>
    <row r="124" customFormat="false" ht="15" hidden="false" customHeight="false" outlineLevel="0" collapsed="false">
      <c r="B124" s="34" t="s">
        <v>417</v>
      </c>
    </row>
    <row r="125" customFormat="false" ht="15" hidden="false" customHeight="false" outlineLevel="0" collapsed="false">
      <c r="B125" s="0" t="s">
        <v>425</v>
      </c>
      <c r="C125" s="0" t="s">
        <v>426</v>
      </c>
      <c r="D125" s="0" t="s">
        <v>427</v>
      </c>
      <c r="E125" s="0" t="s">
        <v>96</v>
      </c>
    </row>
    <row r="126" customFormat="false" ht="15" hidden="false" customHeight="false" outlineLevel="0" collapsed="false">
      <c r="B126" s="34" t="s">
        <v>419</v>
      </c>
    </row>
    <row r="127" customFormat="false" ht="15" hidden="false" customHeight="false" outlineLevel="0" collapsed="false">
      <c r="B127" s="0" t="s">
        <v>412</v>
      </c>
      <c r="C127" s="0" t="s">
        <v>20</v>
      </c>
      <c r="D127" s="0" t="s">
        <v>21</v>
      </c>
    </row>
  </sheetData>
  <mergeCells count="125">
    <mergeCell ref="A1:D1"/>
    <mergeCell ref="A2:C2"/>
    <mergeCell ref="E14:H14"/>
    <mergeCell ref="J14:L14"/>
    <mergeCell ref="G15:I15"/>
    <mergeCell ref="J15:L15"/>
    <mergeCell ref="M15:N15"/>
    <mergeCell ref="O15:P15"/>
    <mergeCell ref="I16:J16"/>
    <mergeCell ref="L16:M16"/>
    <mergeCell ref="J17:K17"/>
    <mergeCell ref="L17:M17"/>
    <mergeCell ref="E20:F20"/>
    <mergeCell ref="G20:I20"/>
    <mergeCell ref="J20:K20"/>
    <mergeCell ref="A25:C25"/>
    <mergeCell ref="K28:L28"/>
    <mergeCell ref="M28:N28"/>
    <mergeCell ref="P28:Q28"/>
    <mergeCell ref="B36:C36"/>
    <mergeCell ref="B37:C37"/>
    <mergeCell ref="B38:C38"/>
    <mergeCell ref="G38:H38"/>
    <mergeCell ref="J38:K38"/>
    <mergeCell ref="B39:C39"/>
    <mergeCell ref="I39:J39"/>
    <mergeCell ref="K39:L39"/>
    <mergeCell ref="M39:N39"/>
    <mergeCell ref="P39:Q39"/>
    <mergeCell ref="S39:T39"/>
    <mergeCell ref="B40:C40"/>
    <mergeCell ref="E40:F40"/>
    <mergeCell ref="S40:T40"/>
    <mergeCell ref="B41:C41"/>
    <mergeCell ref="B42:C42"/>
    <mergeCell ref="E42:F42"/>
    <mergeCell ref="H42:I42"/>
    <mergeCell ref="J42:K42"/>
    <mergeCell ref="B43:C43"/>
    <mergeCell ref="B44:C44"/>
    <mergeCell ref="E44:F44"/>
    <mergeCell ref="H44:J44"/>
    <mergeCell ref="K44:M44"/>
    <mergeCell ref="J46:K46"/>
    <mergeCell ref="D50:E50"/>
    <mergeCell ref="F50:G50"/>
    <mergeCell ref="H50:I50"/>
    <mergeCell ref="J50:K50"/>
    <mergeCell ref="L50:M50"/>
    <mergeCell ref="N50:P50"/>
    <mergeCell ref="Q50:R50"/>
    <mergeCell ref="S50:T50"/>
    <mergeCell ref="F51:G51"/>
    <mergeCell ref="H51:I51"/>
    <mergeCell ref="J51:K51"/>
    <mergeCell ref="L51:M51"/>
    <mergeCell ref="N51:O51"/>
    <mergeCell ref="P51:Q51"/>
    <mergeCell ref="R51:S51"/>
    <mergeCell ref="I58:J58"/>
    <mergeCell ref="D59:E59"/>
    <mergeCell ref="G59:H59"/>
    <mergeCell ref="H63:I63"/>
    <mergeCell ref="D64:E64"/>
    <mergeCell ref="H64:I64"/>
    <mergeCell ref="J64:L64"/>
    <mergeCell ref="M64:O64"/>
    <mergeCell ref="P64:R64"/>
    <mergeCell ref="E66:F66"/>
    <mergeCell ref="G66:H66"/>
    <mergeCell ref="I66:K66"/>
    <mergeCell ref="L66:M66"/>
    <mergeCell ref="E71:F71"/>
    <mergeCell ref="G71:H71"/>
    <mergeCell ref="I71:J71"/>
    <mergeCell ref="L71:M71"/>
    <mergeCell ref="O71:P71"/>
    <mergeCell ref="D74:F74"/>
    <mergeCell ref="G74:I74"/>
    <mergeCell ref="J74:K74"/>
    <mergeCell ref="L74:N74"/>
    <mergeCell ref="O74:Q74"/>
    <mergeCell ref="R74:S74"/>
    <mergeCell ref="C75:D75"/>
    <mergeCell ref="F75:G75"/>
    <mergeCell ref="H75:K75"/>
    <mergeCell ref="L75:O75"/>
    <mergeCell ref="P75:T75"/>
    <mergeCell ref="C91:D91"/>
    <mergeCell ref="F91:G91"/>
    <mergeCell ref="C92:D92"/>
    <mergeCell ref="E92:G92"/>
    <mergeCell ref="F102:G102"/>
    <mergeCell ref="C104:D104"/>
    <mergeCell ref="E104:G104"/>
    <mergeCell ref="H104:L104"/>
    <mergeCell ref="M104:O104"/>
    <mergeCell ref="E111:F111"/>
    <mergeCell ref="G111:H111"/>
    <mergeCell ref="I111:J111"/>
    <mergeCell ref="K111:L111"/>
    <mergeCell ref="M111:N111"/>
    <mergeCell ref="O111:Q111"/>
    <mergeCell ref="R111:S111"/>
    <mergeCell ref="T111:U111"/>
    <mergeCell ref="G112:H112"/>
    <mergeCell ref="I112:J112"/>
    <mergeCell ref="K112:L112"/>
    <mergeCell ref="M112:N112"/>
    <mergeCell ref="O112:P112"/>
    <mergeCell ref="Q112:R112"/>
    <mergeCell ref="S112:T112"/>
    <mergeCell ref="C113:D113"/>
    <mergeCell ref="E113:F113"/>
    <mergeCell ref="G113:H113"/>
    <mergeCell ref="C114:D114"/>
    <mergeCell ref="F114:G114"/>
    <mergeCell ref="H114:J114"/>
    <mergeCell ref="K114:L114"/>
    <mergeCell ref="M114:O114"/>
    <mergeCell ref="C120:D120"/>
    <mergeCell ref="F120:G120"/>
    <mergeCell ref="H120:I120"/>
    <mergeCell ref="J120:K120"/>
    <mergeCell ref="N120:O120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99"/>
  <sheetViews>
    <sheetView windowProtection="false" showFormulas="false" showGridLines="true" showRowColHeaders="true" showZeros="true" rightToLeft="false" tabSelected="true" showOutlineSymbols="true" defaultGridColor="true" view="normal" topLeftCell="A120" colorId="64" zoomScale="100" zoomScaleNormal="100" zoomScalePageLayoutView="100" workbookViewId="0">
      <selection pane="topLeft" activeCell="B137" activeCellId="0" sqref="B137"/>
    </sheetView>
  </sheetViews>
  <sheetFormatPr defaultRowHeight="12.8"/>
  <cols>
    <col collapsed="false" hidden="false" max="1" min="1" style="0" width="11.5204081632653"/>
    <col collapsed="false" hidden="false" max="2" min="2" style="0" width="22.5051020408163"/>
    <col collapsed="false" hidden="false" max="1025" min="3" style="0" width="11.5204081632653"/>
  </cols>
  <sheetData>
    <row r="1" customFormat="false" ht="13.8" hidden="false" customHeight="false" outlineLevel="0" collapsed="false">
      <c r="A1" s="0" t="s">
        <v>6</v>
      </c>
      <c r="B1" s="0" t="s">
        <v>648</v>
      </c>
    </row>
    <row r="2" customFormat="false" ht="13.8" hidden="false" customHeight="false" outlineLevel="0" collapsed="false">
      <c r="A2" s="0" t="s">
        <v>7</v>
      </c>
      <c r="B2" s="0" t="s">
        <v>648</v>
      </c>
    </row>
    <row r="3" customFormat="false" ht="13.8" hidden="false" customHeight="false" outlineLevel="0" collapsed="false">
      <c r="A3" s="0" t="s">
        <v>8</v>
      </c>
      <c r="B3" s="0" t="s">
        <v>648</v>
      </c>
    </row>
    <row r="4" customFormat="false" ht="13.8" hidden="false" customHeight="false" outlineLevel="0" collapsed="false">
      <c r="A4" s="0" t="s">
        <v>9</v>
      </c>
      <c r="B4" s="0" t="s">
        <v>648</v>
      </c>
    </row>
    <row r="5" customFormat="false" ht="13.8" hidden="false" customHeight="false" outlineLevel="0" collapsed="false">
      <c r="A5" s="0" t="s">
        <v>10</v>
      </c>
      <c r="B5" s="0" t="s">
        <v>648</v>
      </c>
    </row>
    <row r="6" customFormat="false" ht="13.8" hidden="false" customHeight="false" outlineLevel="0" collapsed="false">
      <c r="A6" s="0" t="s">
        <v>14</v>
      </c>
      <c r="B6" s="0" t="s">
        <v>649</v>
      </c>
    </row>
    <row r="7" customFormat="false" ht="13.8" hidden="false" customHeight="false" outlineLevel="0" collapsed="false">
      <c r="A7" s="0" t="s">
        <v>15</v>
      </c>
      <c r="B7" s="0" t="s">
        <v>649</v>
      </c>
    </row>
    <row r="8" customFormat="false" ht="13.8" hidden="false" customHeight="false" outlineLevel="0" collapsed="false">
      <c r="A8" s="0" t="s">
        <v>16</v>
      </c>
      <c r="B8" s="0" t="s">
        <v>649</v>
      </c>
    </row>
    <row r="9" customFormat="false" ht="13.8" hidden="false" customHeight="false" outlineLevel="0" collapsed="false">
      <c r="A9" s="0" t="s">
        <v>11</v>
      </c>
      <c r="B9" s="0" t="s">
        <v>649</v>
      </c>
    </row>
    <row r="10" customFormat="false" ht="13.8" hidden="false" customHeight="false" outlineLevel="0" collapsed="false">
      <c r="A10" s="0" t="s">
        <v>35</v>
      </c>
      <c r="B10" s="0" t="s">
        <v>650</v>
      </c>
    </row>
    <row r="11" customFormat="false" ht="13.8" hidden="false" customHeight="false" outlineLevel="0" collapsed="false">
      <c r="A11" s="0" t="s">
        <v>36</v>
      </c>
      <c r="B11" s="0" t="s">
        <v>650</v>
      </c>
    </row>
    <row r="12" customFormat="false" ht="13.8" hidden="false" customHeight="false" outlineLevel="0" collapsed="false">
      <c r="A12" s="0" t="s">
        <v>37</v>
      </c>
      <c r="B12" s="0" t="s">
        <v>650</v>
      </c>
    </row>
    <row r="13" customFormat="false" ht="13.8" hidden="false" customHeight="false" outlineLevel="0" collapsed="false">
      <c r="A13" s="0" t="s">
        <v>57</v>
      </c>
      <c r="B13" s="0" t="s">
        <v>651</v>
      </c>
    </row>
    <row r="14" customFormat="false" ht="13.8" hidden="false" customHeight="false" outlineLevel="0" collapsed="false">
      <c r="A14" s="0" t="s">
        <v>58</v>
      </c>
      <c r="B14" s="0" t="s">
        <v>651</v>
      </c>
    </row>
    <row r="15" customFormat="false" ht="13.8" hidden="false" customHeight="false" outlineLevel="0" collapsed="false">
      <c r="A15" s="0" t="s">
        <v>54</v>
      </c>
      <c r="B15" s="0" t="s">
        <v>651</v>
      </c>
    </row>
    <row r="16" customFormat="false" ht="13.8" hidden="false" customHeight="false" outlineLevel="0" collapsed="false">
      <c r="A16" s="0" t="s">
        <v>59</v>
      </c>
      <c r="B16" s="0" t="s">
        <v>651</v>
      </c>
    </row>
    <row r="17" customFormat="false" ht="13.8" hidden="false" customHeight="false" outlineLevel="0" collapsed="false">
      <c r="A17" s="0" t="s">
        <v>60</v>
      </c>
      <c r="B17" s="0" t="s">
        <v>651</v>
      </c>
    </row>
    <row r="18" customFormat="false" ht="13.8" hidden="false" customHeight="false" outlineLevel="0" collapsed="false">
      <c r="A18" s="0" t="s">
        <v>61</v>
      </c>
      <c r="B18" s="0" t="s">
        <v>651</v>
      </c>
    </row>
    <row r="19" customFormat="false" ht="13.8" hidden="false" customHeight="false" outlineLevel="0" collapsed="false">
      <c r="A19" s="0" t="s">
        <v>62</v>
      </c>
      <c r="B19" s="0" t="s">
        <v>651</v>
      </c>
    </row>
    <row r="20" customFormat="false" ht="13.8" hidden="false" customHeight="false" outlineLevel="0" collapsed="false">
      <c r="A20" s="0" t="s">
        <v>63</v>
      </c>
      <c r="B20" s="0" t="s">
        <v>651</v>
      </c>
    </row>
    <row r="21" customFormat="false" ht="13.8" hidden="false" customHeight="false" outlineLevel="0" collapsed="false">
      <c r="A21" s="0" t="s">
        <v>64</v>
      </c>
      <c r="B21" s="0" t="s">
        <v>651</v>
      </c>
    </row>
    <row r="22" customFormat="false" ht="13.8" hidden="false" customHeight="false" outlineLevel="0" collapsed="false">
      <c r="A22" s="0" t="s">
        <v>65</v>
      </c>
      <c r="B22" s="0" t="s">
        <v>651</v>
      </c>
    </row>
    <row r="23" customFormat="false" ht="13.8" hidden="false" customHeight="false" outlineLevel="0" collapsed="false">
      <c r="A23" s="0" t="s">
        <v>66</v>
      </c>
      <c r="B23" s="0" t="s">
        <v>651</v>
      </c>
    </row>
    <row r="24" customFormat="false" ht="13.8" hidden="false" customHeight="false" outlineLevel="0" collapsed="false">
      <c r="A24" s="0" t="s">
        <v>61</v>
      </c>
      <c r="B24" s="0" t="s">
        <v>652</v>
      </c>
    </row>
    <row r="25" customFormat="false" ht="13.8" hidden="false" customHeight="false" outlineLevel="0" collapsed="false">
      <c r="A25" s="0" t="s">
        <v>73</v>
      </c>
      <c r="B25" s="0" t="s">
        <v>652</v>
      </c>
    </row>
    <row r="26" customFormat="false" ht="13.8" hidden="false" customHeight="false" outlineLevel="0" collapsed="false">
      <c r="A26" s="0" t="n">
        <v>15</v>
      </c>
      <c r="B26" s="0" t="s">
        <v>652</v>
      </c>
    </row>
    <row r="27" customFormat="false" ht="13.8" hidden="false" customHeight="false" outlineLevel="0" collapsed="false">
      <c r="A27" s="0" t="n">
        <v>16</v>
      </c>
      <c r="B27" s="0" t="s">
        <v>652</v>
      </c>
    </row>
    <row r="28" customFormat="false" ht="13.8" hidden="false" customHeight="false" outlineLevel="0" collapsed="false">
      <c r="A28" s="0" t="n">
        <v>17</v>
      </c>
      <c r="B28" s="0" t="s">
        <v>652</v>
      </c>
    </row>
    <row r="29" customFormat="false" ht="13.8" hidden="false" customHeight="false" outlineLevel="0" collapsed="false">
      <c r="A29" s="0" t="n">
        <v>20</v>
      </c>
      <c r="B29" s="0" t="s">
        <v>652</v>
      </c>
    </row>
    <row r="30" customFormat="false" ht="13.8" hidden="false" customHeight="false" outlineLevel="0" collapsed="false">
      <c r="A30" s="0" t="s">
        <v>74</v>
      </c>
      <c r="B30" s="0" t="s">
        <v>652</v>
      </c>
    </row>
    <row r="31" customFormat="false" ht="13.8" hidden="false" customHeight="false" outlineLevel="0" collapsed="false">
      <c r="A31" s="0" t="n">
        <v>27</v>
      </c>
      <c r="B31" s="0" t="s">
        <v>652</v>
      </c>
    </row>
    <row r="32" customFormat="false" ht="13.8" hidden="false" customHeight="false" outlineLevel="0" collapsed="false">
      <c r="A32" s="0" t="s">
        <v>75</v>
      </c>
      <c r="B32" s="0" t="s">
        <v>652</v>
      </c>
    </row>
    <row r="33" customFormat="false" ht="13.8" hidden="false" customHeight="false" outlineLevel="0" collapsed="false">
      <c r="A33" s="0" t="n">
        <v>28</v>
      </c>
      <c r="B33" s="0" t="s">
        <v>652</v>
      </c>
    </row>
    <row r="34" customFormat="false" ht="13.8" hidden="false" customHeight="false" outlineLevel="0" collapsed="false">
      <c r="A34" s="0" t="n">
        <v>29</v>
      </c>
      <c r="B34" s="0" t="s">
        <v>652</v>
      </c>
    </row>
    <row r="35" customFormat="false" ht="13.8" hidden="false" customHeight="false" outlineLevel="0" collapsed="false">
      <c r="A35" s="0" t="n">
        <v>33</v>
      </c>
      <c r="B35" s="0" t="s">
        <v>652</v>
      </c>
    </row>
    <row r="36" customFormat="false" ht="13.8" hidden="false" customHeight="false" outlineLevel="0" collapsed="false">
      <c r="A36" s="0" t="s">
        <v>76</v>
      </c>
      <c r="B36" s="0" t="s">
        <v>652</v>
      </c>
    </row>
    <row r="37" customFormat="false" ht="13.8" hidden="false" customHeight="false" outlineLevel="0" collapsed="false">
      <c r="A37" s="0" t="n">
        <v>34</v>
      </c>
      <c r="B37" s="0" t="s">
        <v>652</v>
      </c>
    </row>
    <row r="38" customFormat="false" ht="13.8" hidden="false" customHeight="false" outlineLevel="0" collapsed="false">
      <c r="A38" s="0" t="s">
        <v>85</v>
      </c>
      <c r="B38" s="0" t="s">
        <v>653</v>
      </c>
    </row>
    <row r="39" customFormat="false" ht="13.8" hidden="false" customHeight="false" outlineLevel="0" collapsed="false">
      <c r="A39" s="0" t="s">
        <v>86</v>
      </c>
      <c r="B39" s="0" t="s">
        <v>653</v>
      </c>
    </row>
    <row r="40" customFormat="false" ht="13.8" hidden="false" customHeight="false" outlineLevel="0" collapsed="false">
      <c r="A40" s="0" t="s">
        <v>11</v>
      </c>
      <c r="B40" s="0" t="s">
        <v>653</v>
      </c>
    </row>
    <row r="41" customFormat="false" ht="13.8" hidden="false" customHeight="false" outlineLevel="0" collapsed="false">
      <c r="A41" s="0" t="s">
        <v>90</v>
      </c>
      <c r="B41" s="0" t="s">
        <v>654</v>
      </c>
    </row>
    <row r="42" customFormat="false" ht="13.8" hidden="false" customHeight="false" outlineLevel="0" collapsed="false">
      <c r="A42" s="0" t="s">
        <v>91</v>
      </c>
      <c r="B42" s="0" t="s">
        <v>654</v>
      </c>
    </row>
    <row r="43" customFormat="false" ht="13.8" hidden="false" customHeight="false" outlineLevel="0" collapsed="false">
      <c r="A43" s="0" t="s">
        <v>92</v>
      </c>
      <c r="B43" s="0" t="s">
        <v>654</v>
      </c>
    </row>
    <row r="44" customFormat="false" ht="13.8" hidden="false" customHeight="false" outlineLevel="0" collapsed="false">
      <c r="A44" s="0" t="s">
        <v>93</v>
      </c>
      <c r="B44" s="0" t="s">
        <v>654</v>
      </c>
    </row>
    <row r="45" customFormat="false" ht="13.8" hidden="false" customHeight="false" outlineLevel="0" collapsed="false">
      <c r="A45" s="0" t="s">
        <v>94</v>
      </c>
      <c r="B45" s="0" t="s">
        <v>654</v>
      </c>
    </row>
    <row r="46" customFormat="false" ht="13.8" hidden="false" customHeight="false" outlineLevel="0" collapsed="false">
      <c r="A46" s="0" t="s">
        <v>95</v>
      </c>
      <c r="B46" s="0" t="s">
        <v>654</v>
      </c>
    </row>
    <row r="47" customFormat="false" ht="13.8" hidden="false" customHeight="false" outlineLevel="0" collapsed="false">
      <c r="A47" s="0" t="s">
        <v>96</v>
      </c>
      <c r="B47" s="0" t="s">
        <v>654</v>
      </c>
    </row>
    <row r="48" customFormat="false" ht="13.8" hidden="false" customHeight="false" outlineLevel="0" collapsed="false">
      <c r="A48" s="0" t="s">
        <v>97</v>
      </c>
      <c r="B48" s="0" t="s">
        <v>654</v>
      </c>
    </row>
    <row r="49" customFormat="false" ht="13.8" hidden="false" customHeight="false" outlineLevel="0" collapsed="false">
      <c r="A49" s="0" t="s">
        <v>101</v>
      </c>
      <c r="B49" s="0" t="s">
        <v>655</v>
      </c>
    </row>
    <row r="50" customFormat="false" ht="13.8" hidden="false" customHeight="false" outlineLevel="0" collapsed="false">
      <c r="A50" s="0" t="s">
        <v>102</v>
      </c>
      <c r="B50" s="0" t="s">
        <v>655</v>
      </c>
    </row>
    <row r="51" customFormat="false" ht="13.8" hidden="false" customHeight="false" outlineLevel="0" collapsed="false">
      <c r="A51" s="0" t="s">
        <v>103</v>
      </c>
      <c r="B51" s="0" t="s">
        <v>655</v>
      </c>
    </row>
    <row r="52" customFormat="false" ht="13.8" hidden="false" customHeight="false" outlineLevel="0" collapsed="false">
      <c r="A52" s="0" t="s">
        <v>60</v>
      </c>
      <c r="B52" s="0" t="s">
        <v>655</v>
      </c>
    </row>
    <row r="53" customFormat="false" ht="13.8" hidden="false" customHeight="false" outlineLevel="0" collapsed="false">
      <c r="A53" s="0" t="s">
        <v>104</v>
      </c>
      <c r="B53" s="0" t="s">
        <v>655</v>
      </c>
    </row>
    <row r="54" customFormat="false" ht="13.8" hidden="false" customHeight="false" outlineLevel="0" collapsed="false">
      <c r="A54" s="0" t="s">
        <v>105</v>
      </c>
      <c r="B54" s="0" t="s">
        <v>655</v>
      </c>
    </row>
    <row r="55" customFormat="false" ht="13.8" hidden="false" customHeight="false" outlineLevel="0" collapsed="false">
      <c r="A55" s="0" t="s">
        <v>106</v>
      </c>
      <c r="B55" s="0" t="s">
        <v>655</v>
      </c>
    </row>
    <row r="56" customFormat="false" ht="13.8" hidden="false" customHeight="false" outlineLevel="0" collapsed="false">
      <c r="A56" s="0" t="s">
        <v>107</v>
      </c>
      <c r="B56" s="0" t="s">
        <v>655</v>
      </c>
    </row>
    <row r="57" customFormat="false" ht="13.8" hidden="false" customHeight="false" outlineLevel="0" collapsed="false">
      <c r="A57" s="0" t="s">
        <v>110</v>
      </c>
      <c r="B57" s="0" t="s">
        <v>656</v>
      </c>
    </row>
    <row r="58" customFormat="false" ht="13.8" hidden="false" customHeight="false" outlineLevel="0" collapsed="false">
      <c r="A58" s="0" t="s">
        <v>111</v>
      </c>
      <c r="B58" s="0" t="s">
        <v>656</v>
      </c>
    </row>
    <row r="59" customFormat="false" ht="13.8" hidden="false" customHeight="false" outlineLevel="0" collapsed="false">
      <c r="A59" s="0" t="s">
        <v>112</v>
      </c>
      <c r="B59" s="0" t="s">
        <v>656</v>
      </c>
    </row>
    <row r="60" customFormat="false" ht="13.8" hidden="false" customHeight="false" outlineLevel="0" collapsed="false">
      <c r="A60" s="0" t="s">
        <v>113</v>
      </c>
      <c r="B60" s="0" t="s">
        <v>656</v>
      </c>
    </row>
    <row r="61" customFormat="false" ht="13.8" hidden="false" customHeight="false" outlineLevel="0" collapsed="false">
      <c r="A61" s="0" t="s">
        <v>114</v>
      </c>
      <c r="B61" s="0" t="s">
        <v>656</v>
      </c>
    </row>
    <row r="62" customFormat="false" ht="13.8" hidden="false" customHeight="false" outlineLevel="0" collapsed="false">
      <c r="A62" s="0" t="s">
        <v>115</v>
      </c>
      <c r="B62" s="0" t="s">
        <v>656</v>
      </c>
    </row>
    <row r="63" customFormat="false" ht="13.8" hidden="false" customHeight="false" outlineLevel="0" collapsed="false">
      <c r="A63" s="0" t="s">
        <v>116</v>
      </c>
      <c r="B63" s="0" t="s">
        <v>656</v>
      </c>
    </row>
    <row r="64" customFormat="false" ht="13.8" hidden="false" customHeight="false" outlineLevel="0" collapsed="false">
      <c r="A64" s="0" t="s">
        <v>119</v>
      </c>
      <c r="B64" s="0" t="s">
        <v>657</v>
      </c>
    </row>
    <row r="65" customFormat="false" ht="13.8" hidden="false" customHeight="false" outlineLevel="0" collapsed="false">
      <c r="A65" s="0" t="s">
        <v>120</v>
      </c>
      <c r="B65" s="0" t="s">
        <v>657</v>
      </c>
    </row>
    <row r="66" customFormat="false" ht="13.8" hidden="false" customHeight="false" outlineLevel="0" collapsed="false">
      <c r="A66" s="0" t="s">
        <v>121</v>
      </c>
      <c r="B66" s="0" t="s">
        <v>657</v>
      </c>
    </row>
    <row r="67" customFormat="false" ht="13.8" hidden="false" customHeight="false" outlineLevel="0" collapsed="false">
      <c r="A67" s="0" t="s">
        <v>122</v>
      </c>
      <c r="B67" s="0" t="s">
        <v>657</v>
      </c>
    </row>
    <row r="68" customFormat="false" ht="13.8" hidden="false" customHeight="false" outlineLevel="0" collapsed="false">
      <c r="A68" s="0" t="s">
        <v>123</v>
      </c>
      <c r="B68" s="0" t="s">
        <v>657</v>
      </c>
    </row>
    <row r="69" customFormat="false" ht="13.8" hidden="false" customHeight="false" outlineLevel="0" collapsed="false">
      <c r="A69" s="0" t="s">
        <v>124</v>
      </c>
      <c r="B69" s="0" t="s">
        <v>657</v>
      </c>
    </row>
    <row r="70" customFormat="false" ht="13.8" hidden="false" customHeight="false" outlineLevel="0" collapsed="false">
      <c r="A70" s="0" t="s">
        <v>125</v>
      </c>
      <c r="B70" s="0" t="s">
        <v>657</v>
      </c>
    </row>
    <row r="71" customFormat="false" ht="13.8" hidden="false" customHeight="false" outlineLevel="0" collapsed="false">
      <c r="A71" s="0" t="s">
        <v>128</v>
      </c>
      <c r="B71" s="0" t="s">
        <v>658</v>
      </c>
    </row>
    <row r="72" customFormat="false" ht="13.8" hidden="false" customHeight="false" outlineLevel="0" collapsed="false">
      <c r="A72" s="0" t="s">
        <v>129</v>
      </c>
      <c r="B72" s="0" t="s">
        <v>658</v>
      </c>
    </row>
    <row r="73" customFormat="false" ht="13.8" hidden="false" customHeight="false" outlineLevel="0" collapsed="false">
      <c r="A73" s="0" t="s">
        <v>130</v>
      </c>
      <c r="B73" s="0" t="s">
        <v>658</v>
      </c>
    </row>
    <row r="74" customFormat="false" ht="13.8" hidden="false" customHeight="false" outlineLevel="0" collapsed="false">
      <c r="A74" s="0" t="s">
        <v>131</v>
      </c>
      <c r="B74" s="0" t="s">
        <v>658</v>
      </c>
    </row>
    <row r="75" customFormat="false" ht="13.8" hidden="false" customHeight="false" outlineLevel="0" collapsed="false">
      <c r="A75" s="0" t="s">
        <v>132</v>
      </c>
      <c r="B75" s="0" t="s">
        <v>658</v>
      </c>
    </row>
    <row r="76" customFormat="false" ht="13.8" hidden="false" customHeight="false" outlineLevel="0" collapsed="false">
      <c r="A76" s="0" t="s">
        <v>133</v>
      </c>
      <c r="B76" s="0" t="s">
        <v>658</v>
      </c>
    </row>
    <row r="77" customFormat="false" ht="13.8" hidden="false" customHeight="false" outlineLevel="0" collapsed="false">
      <c r="A77" s="0" t="s">
        <v>134</v>
      </c>
      <c r="B77" s="0" t="s">
        <v>658</v>
      </c>
    </row>
    <row r="78" customFormat="false" ht="13.8" hidden="false" customHeight="false" outlineLevel="0" collapsed="false">
      <c r="A78" s="0" t="s">
        <v>135</v>
      </c>
      <c r="B78" s="0" t="s">
        <v>658</v>
      </c>
    </row>
    <row r="79" customFormat="false" ht="13.8" hidden="false" customHeight="false" outlineLevel="0" collapsed="false">
      <c r="A79" s="0" t="s">
        <v>136</v>
      </c>
      <c r="B79" s="0" t="s">
        <v>658</v>
      </c>
    </row>
    <row r="80" customFormat="false" ht="13.8" hidden="false" customHeight="false" outlineLevel="0" collapsed="false">
      <c r="A80" s="0" t="s">
        <v>137</v>
      </c>
      <c r="B80" s="0" t="s">
        <v>658</v>
      </c>
    </row>
    <row r="81" customFormat="false" ht="13.8" hidden="false" customHeight="false" outlineLevel="0" collapsed="false">
      <c r="A81" s="0" t="s">
        <v>138</v>
      </c>
      <c r="B81" s="0" t="s">
        <v>658</v>
      </c>
    </row>
    <row r="82" customFormat="false" ht="13.8" hidden="false" customHeight="false" outlineLevel="0" collapsed="false">
      <c r="A82" s="0" t="s">
        <v>139</v>
      </c>
      <c r="B82" s="0" t="s">
        <v>658</v>
      </c>
    </row>
    <row r="83" customFormat="false" ht="13.8" hidden="false" customHeight="false" outlineLevel="0" collapsed="false">
      <c r="A83" s="0" t="s">
        <v>140</v>
      </c>
      <c r="B83" s="0" t="s">
        <v>658</v>
      </c>
    </row>
    <row r="84" customFormat="false" ht="13.8" hidden="false" customHeight="false" outlineLevel="0" collapsed="false">
      <c r="A84" s="0" t="s">
        <v>141</v>
      </c>
      <c r="B84" s="0" t="s">
        <v>658</v>
      </c>
    </row>
    <row r="85" customFormat="false" ht="13.8" hidden="false" customHeight="false" outlineLevel="0" collapsed="false">
      <c r="A85" s="0" t="s">
        <v>144</v>
      </c>
      <c r="B85" s="0" t="s">
        <v>659</v>
      </c>
    </row>
    <row r="86" customFormat="false" ht="13.8" hidden="false" customHeight="false" outlineLevel="0" collapsed="false">
      <c r="A86" s="0" t="s">
        <v>145</v>
      </c>
      <c r="B86" s="0" t="s">
        <v>659</v>
      </c>
    </row>
    <row r="87" customFormat="false" ht="13.8" hidden="false" customHeight="false" outlineLevel="0" collapsed="false">
      <c r="A87" s="0" t="s">
        <v>146</v>
      </c>
      <c r="B87" s="0" t="s">
        <v>659</v>
      </c>
    </row>
    <row r="88" customFormat="false" ht="13.8" hidden="false" customHeight="false" outlineLevel="0" collapsed="false">
      <c r="A88" s="0" t="s">
        <v>150</v>
      </c>
      <c r="B88" s="0" t="s">
        <v>660</v>
      </c>
    </row>
    <row r="89" customFormat="false" ht="13.8" hidden="false" customHeight="false" outlineLevel="0" collapsed="false">
      <c r="A89" s="0" t="s">
        <v>151</v>
      </c>
      <c r="B89" s="0" t="s">
        <v>660</v>
      </c>
    </row>
    <row r="90" customFormat="false" ht="13.8" hidden="false" customHeight="false" outlineLevel="0" collapsed="false">
      <c r="A90" s="0" t="s">
        <v>152</v>
      </c>
      <c r="B90" s="0" t="s">
        <v>660</v>
      </c>
    </row>
    <row r="91" customFormat="false" ht="13.8" hidden="false" customHeight="false" outlineLevel="0" collapsed="false">
      <c r="A91" s="0" t="s">
        <v>153</v>
      </c>
      <c r="B91" s="0" t="s">
        <v>660</v>
      </c>
    </row>
    <row r="92" customFormat="false" ht="13.8" hidden="false" customHeight="false" outlineLevel="0" collapsed="false">
      <c r="A92" s="0" t="s">
        <v>156</v>
      </c>
      <c r="B92" s="0" t="s">
        <v>661</v>
      </c>
    </row>
    <row r="93" customFormat="false" ht="13.8" hidden="false" customHeight="false" outlineLevel="0" collapsed="false">
      <c r="A93" s="0" t="s">
        <v>157</v>
      </c>
      <c r="B93" s="0" t="s">
        <v>661</v>
      </c>
    </row>
    <row r="94" customFormat="false" ht="13.8" hidden="false" customHeight="false" outlineLevel="0" collapsed="false">
      <c r="A94" s="0" t="s">
        <v>158</v>
      </c>
      <c r="B94" s="0" t="s">
        <v>661</v>
      </c>
    </row>
    <row r="95" customFormat="false" ht="13.8" hidden="false" customHeight="false" outlineLevel="0" collapsed="false">
      <c r="A95" s="0" t="s">
        <v>159</v>
      </c>
      <c r="B95" s="0" t="s">
        <v>661</v>
      </c>
    </row>
    <row r="96" customFormat="false" ht="13.8" hidden="false" customHeight="false" outlineLevel="0" collapsed="false">
      <c r="A96" s="0" t="s">
        <v>160</v>
      </c>
      <c r="B96" s="0" t="s">
        <v>661</v>
      </c>
    </row>
    <row r="97" customFormat="false" ht="13.8" hidden="false" customHeight="false" outlineLevel="0" collapsed="false">
      <c r="A97" s="0" t="s">
        <v>165</v>
      </c>
      <c r="B97" s="0" t="s">
        <v>662</v>
      </c>
    </row>
    <row r="98" customFormat="false" ht="13.8" hidden="false" customHeight="false" outlineLevel="0" collapsed="false">
      <c r="A98" s="0" t="s">
        <v>166</v>
      </c>
      <c r="B98" s="0" t="s">
        <v>662</v>
      </c>
    </row>
    <row r="99" customFormat="false" ht="13.8" hidden="false" customHeight="false" outlineLevel="0" collapsed="false">
      <c r="A99" s="0" t="s">
        <v>167</v>
      </c>
      <c r="B99" s="0" t="s">
        <v>662</v>
      </c>
    </row>
    <row r="100" customFormat="false" ht="13.8" hidden="false" customHeight="false" outlineLevel="0" collapsed="false">
      <c r="A100" s="0" t="s">
        <v>168</v>
      </c>
      <c r="B100" s="0" t="s">
        <v>662</v>
      </c>
    </row>
    <row r="101" customFormat="false" ht="13.8" hidden="false" customHeight="false" outlineLevel="0" collapsed="false">
      <c r="A101" s="0" t="s">
        <v>169</v>
      </c>
      <c r="B101" s="0" t="s">
        <v>662</v>
      </c>
    </row>
    <row r="102" customFormat="false" ht="13.8" hidden="false" customHeight="false" outlineLevel="0" collapsed="false">
      <c r="A102" s="0" t="s">
        <v>176</v>
      </c>
      <c r="B102" s="0" t="s">
        <v>663</v>
      </c>
    </row>
    <row r="103" customFormat="false" ht="13.8" hidden="false" customHeight="false" outlineLevel="0" collapsed="false">
      <c r="A103" s="0" t="s">
        <v>177</v>
      </c>
      <c r="B103" s="0" t="s">
        <v>663</v>
      </c>
    </row>
    <row r="104" customFormat="false" ht="13.8" hidden="false" customHeight="false" outlineLevel="0" collapsed="false">
      <c r="A104" s="0" t="s">
        <v>178</v>
      </c>
      <c r="B104" s="0" t="s">
        <v>663</v>
      </c>
    </row>
    <row r="105" customFormat="false" ht="13.8" hidden="false" customHeight="false" outlineLevel="0" collapsed="false">
      <c r="A105" s="0" t="s">
        <v>179</v>
      </c>
      <c r="B105" s="0" t="s">
        <v>663</v>
      </c>
    </row>
    <row r="106" customFormat="false" ht="13.8" hidden="false" customHeight="false" outlineLevel="0" collapsed="false">
      <c r="A106" s="0" t="s">
        <v>180</v>
      </c>
      <c r="B106" s="0" t="s">
        <v>663</v>
      </c>
    </row>
    <row r="107" customFormat="false" ht="13.8" hidden="false" customHeight="false" outlineLevel="0" collapsed="false">
      <c r="A107" s="0" t="s">
        <v>181</v>
      </c>
      <c r="B107" s="0" t="s">
        <v>663</v>
      </c>
    </row>
    <row r="108" customFormat="false" ht="13.8" hidden="false" customHeight="false" outlineLevel="0" collapsed="false">
      <c r="A108" s="0" t="s">
        <v>182</v>
      </c>
      <c r="B108" s="0" t="s">
        <v>663</v>
      </c>
    </row>
    <row r="109" customFormat="false" ht="13.8" hidden="false" customHeight="false" outlineLevel="0" collapsed="false">
      <c r="A109" s="0" t="s">
        <v>183</v>
      </c>
      <c r="B109" s="0" t="s">
        <v>663</v>
      </c>
    </row>
    <row r="110" customFormat="false" ht="13.8" hidden="false" customHeight="false" outlineLevel="0" collapsed="false">
      <c r="A110" s="0" t="s">
        <v>184</v>
      </c>
      <c r="B110" s="0" t="s">
        <v>663</v>
      </c>
    </row>
    <row r="111" customFormat="false" ht="13.8" hidden="false" customHeight="false" outlineLevel="0" collapsed="false">
      <c r="A111" s="0" t="s">
        <v>185</v>
      </c>
      <c r="B111" s="0" t="s">
        <v>663</v>
      </c>
    </row>
    <row r="112" customFormat="false" ht="13.8" hidden="false" customHeight="false" outlineLevel="0" collapsed="false">
      <c r="A112" s="0" t="s">
        <v>186</v>
      </c>
      <c r="B112" s="0" t="s">
        <v>663</v>
      </c>
    </row>
    <row r="113" customFormat="false" ht="13.8" hidden="false" customHeight="false" outlineLevel="0" collapsed="false">
      <c r="A113" s="0" t="s">
        <v>187</v>
      </c>
      <c r="B113" s="0" t="s">
        <v>663</v>
      </c>
    </row>
    <row r="114" customFormat="false" ht="13.8" hidden="false" customHeight="false" outlineLevel="0" collapsed="false">
      <c r="A114" s="0" t="s">
        <v>188</v>
      </c>
      <c r="B114" s="0" t="s">
        <v>663</v>
      </c>
    </row>
    <row r="115" customFormat="false" ht="13.8" hidden="false" customHeight="false" outlineLevel="0" collapsed="false">
      <c r="A115" s="0" t="s">
        <v>189</v>
      </c>
      <c r="B115" s="0" t="s">
        <v>663</v>
      </c>
    </row>
    <row r="116" customFormat="false" ht="13.8" hidden="false" customHeight="false" outlineLevel="0" collapsed="false">
      <c r="A116" s="0" t="s">
        <v>190</v>
      </c>
      <c r="B116" s="0" t="s">
        <v>663</v>
      </c>
    </row>
    <row r="117" customFormat="false" ht="13.8" hidden="false" customHeight="false" outlineLevel="0" collapsed="false">
      <c r="A117" s="0" t="s">
        <v>191</v>
      </c>
      <c r="B117" s="0" t="s">
        <v>663</v>
      </c>
    </row>
    <row r="118" customFormat="false" ht="13.8" hidden="false" customHeight="false" outlineLevel="0" collapsed="false">
      <c r="A118" s="0" t="s">
        <v>206</v>
      </c>
      <c r="B118" s="0" t="s">
        <v>664</v>
      </c>
    </row>
    <row r="119" customFormat="false" ht="13.8" hidden="false" customHeight="false" outlineLevel="0" collapsed="false">
      <c r="A119" s="0" t="s">
        <v>207</v>
      </c>
      <c r="B119" s="0" t="s">
        <v>664</v>
      </c>
    </row>
    <row r="120" customFormat="false" ht="13.8" hidden="false" customHeight="false" outlineLevel="0" collapsed="false">
      <c r="A120" s="0" t="s">
        <v>208</v>
      </c>
      <c r="B120" s="0" t="s">
        <v>664</v>
      </c>
    </row>
    <row r="121" customFormat="false" ht="13.8" hidden="false" customHeight="false" outlineLevel="0" collapsed="false">
      <c r="A121" s="0" t="s">
        <v>233</v>
      </c>
      <c r="B121" s="0" t="s">
        <v>665</v>
      </c>
    </row>
    <row r="122" customFormat="false" ht="13.8" hidden="false" customHeight="false" outlineLevel="0" collapsed="false">
      <c r="A122" s="0" t="s">
        <v>234</v>
      </c>
      <c r="B122" s="0" t="s">
        <v>665</v>
      </c>
    </row>
    <row r="123" customFormat="false" ht="13.8" hidden="false" customHeight="false" outlineLevel="0" collapsed="false">
      <c r="A123" s="0" t="s">
        <v>235</v>
      </c>
      <c r="B123" s="0" t="s">
        <v>665</v>
      </c>
    </row>
    <row r="124" customFormat="false" ht="13.8" hidden="false" customHeight="false" outlineLevel="0" collapsed="false">
      <c r="A124" s="0" t="s">
        <v>236</v>
      </c>
      <c r="B124" s="0" t="s">
        <v>665</v>
      </c>
    </row>
    <row r="125" customFormat="false" ht="13.8" hidden="false" customHeight="false" outlineLevel="0" collapsed="false">
      <c r="A125" s="0" t="s">
        <v>246</v>
      </c>
      <c r="B125" s="0" t="s">
        <v>666</v>
      </c>
    </row>
    <row r="126" customFormat="false" ht="13.8" hidden="false" customHeight="false" outlineLevel="0" collapsed="false">
      <c r="A126" s="0" t="s">
        <v>247</v>
      </c>
      <c r="B126" s="0" t="s">
        <v>666</v>
      </c>
    </row>
    <row r="127" customFormat="false" ht="13.8" hidden="false" customHeight="false" outlineLevel="0" collapsed="false">
      <c r="A127" s="0" t="s">
        <v>248</v>
      </c>
      <c r="B127" s="0" t="s">
        <v>666</v>
      </c>
    </row>
    <row r="128" customFormat="false" ht="13.8" hidden="false" customHeight="false" outlineLevel="0" collapsed="false">
      <c r="A128" s="0" t="s">
        <v>249</v>
      </c>
      <c r="B128" s="0" t="s">
        <v>666</v>
      </c>
    </row>
    <row r="129" customFormat="false" ht="13.8" hidden="false" customHeight="false" outlineLevel="0" collapsed="false">
      <c r="A129" s="0" t="s">
        <v>250</v>
      </c>
      <c r="B129" s="0" t="s">
        <v>666</v>
      </c>
    </row>
    <row r="130" customFormat="false" ht="13.8" hidden="false" customHeight="false" outlineLevel="0" collapsed="false">
      <c r="A130" s="0" t="s">
        <v>251</v>
      </c>
      <c r="B130" s="0" t="s">
        <v>666</v>
      </c>
    </row>
    <row r="131" customFormat="false" ht="13.8" hidden="false" customHeight="false" outlineLevel="0" collapsed="false">
      <c r="A131" s="0" t="s">
        <v>252</v>
      </c>
      <c r="B131" s="0" t="s">
        <v>666</v>
      </c>
    </row>
    <row r="132" customFormat="false" ht="13.8" hidden="false" customHeight="false" outlineLevel="0" collapsed="false">
      <c r="A132" s="0" t="s">
        <v>257</v>
      </c>
      <c r="B132" s="0" t="s">
        <v>667</v>
      </c>
    </row>
    <row r="133" customFormat="false" ht="13.8" hidden="false" customHeight="false" outlineLevel="0" collapsed="false">
      <c r="A133" s="0" t="s">
        <v>258</v>
      </c>
      <c r="B133" s="0" t="s">
        <v>667</v>
      </c>
    </row>
    <row r="134" customFormat="false" ht="13.8" hidden="false" customHeight="false" outlineLevel="0" collapsed="false">
      <c r="A134" s="0" t="s">
        <v>259</v>
      </c>
      <c r="B134" s="0" t="s">
        <v>667</v>
      </c>
    </row>
    <row r="135" customFormat="false" ht="13.8" hidden="false" customHeight="false" outlineLevel="0" collapsed="false">
      <c r="A135" s="0" t="s">
        <v>260</v>
      </c>
      <c r="B135" s="0" t="s">
        <v>667</v>
      </c>
    </row>
    <row r="136" customFormat="false" ht="13.8" hidden="false" customHeight="false" outlineLevel="0" collapsed="false">
      <c r="A136" s="0" t="s">
        <v>57</v>
      </c>
      <c r="B136" s="0" t="s">
        <v>668</v>
      </c>
    </row>
    <row r="137" customFormat="false" ht="13.8" hidden="false" customHeight="false" outlineLevel="0" collapsed="false">
      <c r="A137" s="0" t="s">
        <v>272</v>
      </c>
      <c r="B137" s="0" t="s">
        <v>668</v>
      </c>
    </row>
    <row r="138" customFormat="false" ht="13.8" hidden="false" customHeight="false" outlineLevel="0" collapsed="false">
      <c r="A138" s="0" t="s">
        <v>63</v>
      </c>
      <c r="B138" s="0" t="s">
        <v>668</v>
      </c>
    </row>
    <row r="139" customFormat="false" ht="13.8" hidden="false" customHeight="false" outlineLevel="0" collapsed="false">
      <c r="A139" s="0" t="s">
        <v>64</v>
      </c>
      <c r="B139" s="0" t="s">
        <v>668</v>
      </c>
    </row>
    <row r="140" customFormat="false" ht="13.8" hidden="false" customHeight="false" outlineLevel="0" collapsed="false">
      <c r="A140" s="0" t="s">
        <v>65</v>
      </c>
      <c r="B140" s="0" t="s">
        <v>668</v>
      </c>
    </row>
    <row r="141" customFormat="false" ht="13.8" hidden="false" customHeight="false" outlineLevel="0" collapsed="false">
      <c r="A141" s="0" t="s">
        <v>273</v>
      </c>
      <c r="B141" s="0" t="s">
        <v>668</v>
      </c>
    </row>
    <row r="142" customFormat="false" ht="13.8" hidden="false" customHeight="false" outlineLevel="0" collapsed="false">
      <c r="A142" s="0" t="s">
        <v>274</v>
      </c>
      <c r="B142" s="0" t="s">
        <v>668</v>
      </c>
    </row>
    <row r="143" customFormat="false" ht="13.8" hidden="false" customHeight="false" outlineLevel="0" collapsed="false">
      <c r="A143" s="0" t="s">
        <v>66</v>
      </c>
      <c r="B143" s="0" t="s">
        <v>668</v>
      </c>
    </row>
    <row r="144" customFormat="false" ht="13.8" hidden="false" customHeight="false" outlineLevel="0" collapsed="false">
      <c r="A144" s="0" t="s">
        <v>233</v>
      </c>
      <c r="B144" s="0" t="s">
        <v>669</v>
      </c>
    </row>
    <row r="145" customFormat="false" ht="13.8" hidden="false" customHeight="false" outlineLevel="0" collapsed="false">
      <c r="A145" s="0" t="s">
        <v>282</v>
      </c>
      <c r="B145" s="0" t="s">
        <v>669</v>
      </c>
    </row>
    <row r="146" customFormat="false" ht="13.8" hidden="false" customHeight="false" outlineLevel="0" collapsed="false">
      <c r="A146" s="0" t="s">
        <v>236</v>
      </c>
      <c r="B146" s="0" t="s">
        <v>669</v>
      </c>
    </row>
    <row r="147" customFormat="false" ht="13.8" hidden="false" customHeight="false" outlineLevel="0" collapsed="false">
      <c r="A147" s="0" t="s">
        <v>249</v>
      </c>
      <c r="B147" s="0" t="s">
        <v>669</v>
      </c>
    </row>
    <row r="148" customFormat="false" ht="13.8" hidden="false" customHeight="false" outlineLevel="0" collapsed="false">
      <c r="A148" s="0" t="s">
        <v>250</v>
      </c>
      <c r="B148" s="0" t="s">
        <v>669</v>
      </c>
    </row>
    <row r="149" customFormat="false" ht="13.8" hidden="false" customHeight="false" outlineLevel="0" collapsed="false">
      <c r="A149" s="0" t="s">
        <v>283</v>
      </c>
      <c r="B149" s="0" t="s">
        <v>669</v>
      </c>
    </row>
    <row r="150" customFormat="false" ht="13.8" hidden="false" customHeight="false" outlineLevel="0" collapsed="false">
      <c r="A150" s="0" t="s">
        <v>284</v>
      </c>
      <c r="B150" s="0" t="s">
        <v>669</v>
      </c>
    </row>
    <row r="151" customFormat="false" ht="13.8" hidden="false" customHeight="false" outlineLevel="0" collapsed="false">
      <c r="A151" s="0" t="s">
        <v>287</v>
      </c>
      <c r="B151" s="0" t="s">
        <v>670</v>
      </c>
    </row>
    <row r="152" customFormat="false" ht="13.8" hidden="false" customHeight="false" outlineLevel="0" collapsed="false">
      <c r="A152" s="0" t="s">
        <v>274</v>
      </c>
      <c r="B152" s="0" t="s">
        <v>670</v>
      </c>
    </row>
    <row r="153" customFormat="false" ht="13.8" hidden="false" customHeight="false" outlineLevel="0" collapsed="false">
      <c r="A153" s="0" t="s">
        <v>288</v>
      </c>
      <c r="B153" s="0" t="s">
        <v>670</v>
      </c>
    </row>
    <row r="154" customFormat="false" ht="13.8" hidden="false" customHeight="false" outlineLevel="0" collapsed="false">
      <c r="A154" s="0" t="s">
        <v>289</v>
      </c>
      <c r="B154" s="0" t="s">
        <v>670</v>
      </c>
    </row>
    <row r="155" customFormat="false" ht="13.8" hidden="false" customHeight="false" outlineLevel="0" collapsed="false">
      <c r="A155" s="0" t="s">
        <v>290</v>
      </c>
      <c r="B155" s="0" t="s">
        <v>670</v>
      </c>
    </row>
    <row r="156" customFormat="false" ht="13.8" hidden="false" customHeight="false" outlineLevel="0" collapsed="false">
      <c r="A156" s="0" t="s">
        <v>291</v>
      </c>
      <c r="B156" s="0" t="s">
        <v>670</v>
      </c>
    </row>
    <row r="157" customFormat="false" ht="13.8" hidden="false" customHeight="false" outlineLevel="0" collapsed="false">
      <c r="A157" s="0" t="s">
        <v>307</v>
      </c>
      <c r="B157" s="0" t="s">
        <v>671</v>
      </c>
    </row>
    <row r="158" customFormat="false" ht="13.8" hidden="false" customHeight="false" outlineLevel="0" collapsed="false">
      <c r="A158" s="0" t="s">
        <v>308</v>
      </c>
      <c r="B158" s="0" t="s">
        <v>671</v>
      </c>
    </row>
    <row r="159" customFormat="false" ht="13.8" hidden="false" customHeight="false" outlineLevel="0" collapsed="false">
      <c r="A159" s="0" t="s">
        <v>309</v>
      </c>
      <c r="B159" s="0" t="s">
        <v>671</v>
      </c>
    </row>
    <row r="160" customFormat="false" ht="13.8" hidden="false" customHeight="false" outlineLevel="0" collapsed="false">
      <c r="A160" s="0" t="s">
        <v>335</v>
      </c>
      <c r="B160" s="0" t="s">
        <v>672</v>
      </c>
    </row>
    <row r="161" customFormat="false" ht="13.8" hidden="false" customHeight="false" outlineLevel="0" collapsed="false">
      <c r="A161" s="0" t="s">
        <v>336</v>
      </c>
      <c r="B161" s="0" t="s">
        <v>672</v>
      </c>
    </row>
    <row r="162" customFormat="false" ht="13.8" hidden="false" customHeight="false" outlineLevel="0" collapsed="false">
      <c r="A162" s="0" t="s">
        <v>337</v>
      </c>
      <c r="B162" s="0" t="s">
        <v>672</v>
      </c>
    </row>
    <row r="163" customFormat="false" ht="13.8" hidden="false" customHeight="false" outlineLevel="0" collapsed="false">
      <c r="A163" s="0" t="s">
        <v>338</v>
      </c>
      <c r="B163" s="0" t="s">
        <v>672</v>
      </c>
    </row>
    <row r="164" customFormat="false" ht="13.8" hidden="false" customHeight="false" outlineLevel="0" collapsed="false">
      <c r="A164" s="0" t="s">
        <v>339</v>
      </c>
      <c r="B164" s="0" t="s">
        <v>672</v>
      </c>
    </row>
    <row r="165" customFormat="false" ht="13.8" hidden="false" customHeight="false" outlineLevel="0" collapsed="false">
      <c r="A165" s="0" t="s">
        <v>340</v>
      </c>
      <c r="B165" s="0" t="s">
        <v>672</v>
      </c>
    </row>
    <row r="166" customFormat="false" ht="13.8" hidden="false" customHeight="false" outlineLevel="0" collapsed="false">
      <c r="A166" s="0" t="s">
        <v>341</v>
      </c>
      <c r="B166" s="0" t="s">
        <v>672</v>
      </c>
    </row>
    <row r="167" customFormat="false" ht="13.8" hidden="false" customHeight="false" outlineLevel="0" collapsed="false">
      <c r="A167" s="0" t="s">
        <v>342</v>
      </c>
      <c r="B167" s="0" t="s">
        <v>672</v>
      </c>
    </row>
    <row r="168" customFormat="false" ht="13.8" hidden="false" customHeight="false" outlineLevel="0" collapsed="false">
      <c r="A168" s="0" t="s">
        <v>343</v>
      </c>
      <c r="B168" s="0" t="s">
        <v>672</v>
      </c>
    </row>
    <row r="169" customFormat="false" ht="13.8" hidden="false" customHeight="false" outlineLevel="0" collapsed="false">
      <c r="A169" s="0" t="s">
        <v>20</v>
      </c>
      <c r="B169" s="0" t="s">
        <v>673</v>
      </c>
    </row>
    <row r="170" customFormat="false" ht="13.8" hidden="false" customHeight="false" outlineLevel="0" collapsed="false">
      <c r="A170" s="0" t="s">
        <v>21</v>
      </c>
      <c r="B170" s="0" t="s">
        <v>673</v>
      </c>
    </row>
    <row r="171" customFormat="false" ht="13.8" hidden="false" customHeight="false" outlineLevel="0" collapsed="false">
      <c r="A171" s="0" t="s">
        <v>357</v>
      </c>
      <c r="B171" s="0" t="s">
        <v>673</v>
      </c>
    </row>
    <row r="172" customFormat="false" ht="13.8" hidden="false" customHeight="false" outlineLevel="0" collapsed="false">
      <c r="A172" s="0" t="s">
        <v>358</v>
      </c>
      <c r="B172" s="0" t="s">
        <v>673</v>
      </c>
    </row>
    <row r="173" customFormat="false" ht="13.8" hidden="false" customHeight="false" outlineLevel="0" collapsed="false">
      <c r="A173" s="0" t="s">
        <v>359</v>
      </c>
      <c r="B173" s="0" t="s">
        <v>673</v>
      </c>
    </row>
    <row r="174" customFormat="false" ht="13.8" hidden="false" customHeight="false" outlineLevel="0" collapsed="false">
      <c r="A174" s="0" t="s">
        <v>362</v>
      </c>
      <c r="B174" s="0" t="s">
        <v>674</v>
      </c>
    </row>
    <row r="175" customFormat="false" ht="13.8" hidden="false" customHeight="false" outlineLevel="0" collapsed="false">
      <c r="A175" s="0" t="s">
        <v>363</v>
      </c>
      <c r="B175" s="0" t="s">
        <v>674</v>
      </c>
    </row>
    <row r="176" customFormat="false" ht="13.8" hidden="false" customHeight="false" outlineLevel="0" collapsed="false">
      <c r="A176" s="0" t="s">
        <v>364</v>
      </c>
      <c r="B176" s="0" t="s">
        <v>674</v>
      </c>
    </row>
    <row r="177" customFormat="false" ht="13.8" hidden="false" customHeight="false" outlineLevel="0" collapsed="false">
      <c r="A177" s="0" t="s">
        <v>365</v>
      </c>
      <c r="B177" s="0" t="s">
        <v>674</v>
      </c>
    </row>
    <row r="178" customFormat="false" ht="13.8" hidden="false" customHeight="false" outlineLevel="0" collapsed="false">
      <c r="A178" s="0" t="s">
        <v>11</v>
      </c>
      <c r="B178" s="0" t="s">
        <v>674</v>
      </c>
    </row>
    <row r="179" customFormat="false" ht="13.8" hidden="false" customHeight="false" outlineLevel="0" collapsed="false">
      <c r="A179" s="0" t="s">
        <v>379</v>
      </c>
      <c r="B179" s="0" t="s">
        <v>675</v>
      </c>
    </row>
    <row r="180" customFormat="false" ht="13.8" hidden="false" customHeight="false" outlineLevel="0" collapsed="false">
      <c r="A180" s="0" t="s">
        <v>380</v>
      </c>
      <c r="B180" s="0" t="s">
        <v>675</v>
      </c>
    </row>
    <row r="181" customFormat="false" ht="13.8" hidden="false" customHeight="false" outlineLevel="0" collapsed="false">
      <c r="A181" s="0" t="s">
        <v>96</v>
      </c>
      <c r="B181" s="0" t="s">
        <v>675</v>
      </c>
    </row>
    <row r="182" customFormat="false" ht="13.8" hidden="false" customHeight="false" outlineLevel="0" collapsed="false">
      <c r="A182" s="0" t="s">
        <v>381</v>
      </c>
      <c r="B182" s="0" t="s">
        <v>675</v>
      </c>
    </row>
    <row r="183" customFormat="false" ht="13.8" hidden="false" customHeight="false" outlineLevel="0" collapsed="false">
      <c r="A183" s="0" t="s">
        <v>386</v>
      </c>
      <c r="B183" s="0" t="s">
        <v>676</v>
      </c>
    </row>
    <row r="184" customFormat="false" ht="13.8" hidden="false" customHeight="false" outlineLevel="0" collapsed="false">
      <c r="A184" s="0" t="s">
        <v>387</v>
      </c>
      <c r="B184" s="0" t="s">
        <v>676</v>
      </c>
    </row>
    <row r="185" customFormat="false" ht="13.8" hidden="false" customHeight="false" outlineLevel="0" collapsed="false">
      <c r="A185" s="0" t="s">
        <v>379</v>
      </c>
      <c r="B185" s="0" t="s">
        <v>676</v>
      </c>
    </row>
    <row r="186" customFormat="false" ht="13.8" hidden="false" customHeight="false" outlineLevel="0" collapsed="false">
      <c r="A186" s="0" t="s">
        <v>390</v>
      </c>
      <c r="B186" s="0" t="s">
        <v>677</v>
      </c>
    </row>
    <row r="187" customFormat="false" ht="13.8" hidden="false" customHeight="false" outlineLevel="0" collapsed="false">
      <c r="A187" s="0" t="s">
        <v>391</v>
      </c>
      <c r="B187" s="0" t="s">
        <v>677</v>
      </c>
    </row>
    <row r="188" customFormat="false" ht="13.8" hidden="false" customHeight="false" outlineLevel="0" collapsed="false">
      <c r="A188" s="0" t="s">
        <v>392</v>
      </c>
      <c r="B188" s="0" t="s">
        <v>677</v>
      </c>
    </row>
    <row r="189" customFormat="false" ht="13.8" hidden="false" customHeight="false" outlineLevel="0" collapsed="false">
      <c r="A189" s="0" t="s">
        <v>393</v>
      </c>
      <c r="B189" s="0" t="s">
        <v>677</v>
      </c>
    </row>
    <row r="190" customFormat="false" ht="13.8" hidden="false" customHeight="false" outlineLevel="0" collapsed="false">
      <c r="A190" s="0" t="s">
        <v>394</v>
      </c>
      <c r="B190" s="0" t="s">
        <v>677</v>
      </c>
    </row>
    <row r="191" customFormat="false" ht="13.8" hidden="false" customHeight="false" outlineLevel="0" collapsed="false">
      <c r="A191" s="0" t="s">
        <v>283</v>
      </c>
      <c r="B191" s="0" t="s">
        <v>677</v>
      </c>
    </row>
    <row r="192" customFormat="false" ht="13.8" hidden="false" customHeight="false" outlineLevel="0" collapsed="false">
      <c r="A192" s="0" t="s">
        <v>403</v>
      </c>
      <c r="B192" s="0" t="s">
        <v>678</v>
      </c>
    </row>
    <row r="193" customFormat="false" ht="13.8" hidden="false" customHeight="false" outlineLevel="0" collapsed="false">
      <c r="A193" s="0" t="s">
        <v>404</v>
      </c>
      <c r="B193" s="0" t="s">
        <v>678</v>
      </c>
    </row>
    <row r="194" customFormat="false" ht="13.8" hidden="false" customHeight="false" outlineLevel="0" collapsed="false">
      <c r="A194" s="0" t="s">
        <v>405</v>
      </c>
      <c r="B194" s="0" t="s">
        <v>678</v>
      </c>
    </row>
    <row r="195" customFormat="false" ht="13.8" hidden="false" customHeight="false" outlineLevel="0" collapsed="false">
      <c r="A195" s="0" t="s">
        <v>406</v>
      </c>
      <c r="B195" s="0" t="s">
        <v>678</v>
      </c>
    </row>
    <row r="196" customFormat="false" ht="13.8" hidden="false" customHeight="false" outlineLevel="0" collapsed="false">
      <c r="A196" s="0" t="s">
        <v>407</v>
      </c>
      <c r="B196" s="0" t="s">
        <v>678</v>
      </c>
    </row>
    <row r="197" customFormat="false" ht="13.8" hidden="false" customHeight="false" outlineLevel="0" collapsed="false">
      <c r="A197" s="0" t="s">
        <v>96</v>
      </c>
      <c r="B197" s="0" t="s">
        <v>678</v>
      </c>
    </row>
    <row r="198" customFormat="false" ht="13.8" hidden="false" customHeight="false" outlineLevel="0" collapsed="false">
      <c r="A198" s="0" t="s">
        <v>408</v>
      </c>
      <c r="B198" s="0" t="s">
        <v>678</v>
      </c>
    </row>
    <row r="199" customFormat="false" ht="13.8" hidden="false" customHeight="false" outlineLevel="0" collapsed="false">
      <c r="A199" s="0" t="s">
        <v>409</v>
      </c>
      <c r="B199" s="0" t="s">
        <v>678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1363</TotalTime>
  <Application>LibreOffice/5.0.3.2$Linux_X86_64 LibreOffice_project/00m0$Build-2</Application>
  <Company>UHL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2017-11-07T10:01:01Z</dcterms:created>
  <dc:creator>nikki.y.gardiner</dc:creator>
  <dc:language>en-GB</dc:language>
  <dcterms:modified xsi:type="dcterms:W3CDTF">2018-04-10T20:38:45Z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UHL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  <property fmtid="{D5CDD505-2E9C-101B-9397-08002B2CF9AE}" pid="9" name="WinDIP File ID">
    <vt:lpwstr>706c2dd3-403c-4fe9-939c-45149bc9d93a</vt:lpwstr>
  </property>
</Properties>
</file>