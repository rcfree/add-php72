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0" yWindow="120" windowWidth="20490" windowHeight="8025" tabRatio="500"/>
  </bookViews>
  <sheets>
    <sheet name="Sheet1" sheetId="1" r:id="rId1"/>
    <sheet name="Sheet2" sheetId="2" r:id="rId2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<sst xmlns="http://schemas.openxmlformats.org/spreadsheetml/2006/main" count="259" uniqueCount="153">
  <si>
    <t>number</t>
  </si>
  <si>
    <t>l</t>
  </si>
  <si>
    <t>%</t>
  </si>
  <si>
    <t>Exhaled NO</t>
  </si>
  <si>
    <t>exhaled_no</t>
  </si>
  <si>
    <t>highest_exhaled_no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</si>
  <si>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</si>
  <si>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</si>
  <si>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</si>
  <si>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</si>
  <si>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</si>
  <si>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</si>
  <si>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</si>
  <si>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</si>
  <si>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</si>
  <si>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</si>
  <si>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</si>
  <si>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</si>
  <si>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</si>
  <si>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pre_bronch_fev1</t>
  </si>
  <si>
    <t>post_bronch_fev1</t>
  </si>
  <si>
    <t>fieldset</t>
  </si>
  <si>
    <t>fset1</t>
  </si>
  <si>
    <t>fset2</t>
  </si>
  <si>
    <t>hc1</t>
  </si>
  <si>
    <t>horiz_container</t>
  </si>
  <si>
    <t>hc2</t>
  </si>
  <si>
    <t>Value</t>
  </si>
  <si>
    <t>hc0</t>
  </si>
  <si>
    <t>Y</t>
  </si>
  <si>
    <t>compress=1</t>
  </si>
  <si>
    <t>hc8</t>
  </si>
  <si>
    <t>fset7</t>
  </si>
  <si>
    <t>date</t>
  </si>
  <si>
    <t>expression</t>
  </si>
  <si>
    <t>4</t>
  </si>
  <si>
    <t>Tabs</t>
  </si>
  <si>
    <t>tab_container</t>
  </si>
  <si>
    <t>tc</t>
  </si>
  <si>
    <t>spirometry_tab</t>
  </si>
  <si>
    <t>tab</t>
  </si>
  <si>
    <t>Spirometry</t>
  </si>
  <si>
    <t>other_tab</t>
  </si>
  <si>
    <t>spirometry_date</t>
  </si>
  <si>
    <t>other_measure_date</t>
  </si>
  <si>
    <t>l min&lt;sup&gt;-1&lt;/sup&gt;</t>
  </si>
  <si>
    <t>Date of spirometry tests</t>
  </si>
  <si>
    <t>Date of other tests</t>
  </si>
  <si>
    <t>pc_pred_pre_bronch_fev1</t>
  </si>
  <si>
    <t>pc_pred_post_bronch_fev1</t>
  </si>
  <si>
    <t>best_pef</t>
  </si>
  <si>
    <t>FEV&lt;sub&gt;1&lt;/sub&gt;</t>
  </si>
  <si>
    <t>Pre-bronchodilator FEV&lt;sub&gt;1&lt;/sub&gt;</t>
  </si>
  <si>
    <t>% predicted FEV&lt;sub&gt;1&lt;/sub&gt;</t>
  </si>
  <si>
    <t>Post-bronchodilator FEV&lt;sub&gt;1&lt;/sub&gt;</t>
  </si>
  <si>
    <t>date_of_birth()</t>
  </si>
  <si>
    <t>today()</t>
  </si>
  <si>
    <t>compress=1,width=48%</t>
  </si>
  <si>
    <t>Has patient withheld inhalers?</t>
  </si>
  <si>
    <t>patient_wheld_inhalers</t>
  </si>
  <si>
    <t>yes_no</t>
  </si>
  <si>
    <t>Bronchodilator reversibility FEV&lt;sub&gt;1&lt;/sub&gt;</t>
  </si>
  <si>
    <t>bronch_rev_fev1_mls</t>
  </si>
  <si>
    <t>mls</t>
  </si>
  <si>
    <t>bronch_rev_fev1_pc</t>
  </si>
  <si>
    <t>fset8</t>
  </si>
  <si>
    <t>hc7b</t>
  </si>
  <si>
    <t>Peak-expiratory flow</t>
  </si>
  <si>
    <t>Best PEF</t>
  </si>
  <si>
    <t>segments=4</t>
  </si>
  <si>
    <t>exno_fset</t>
  </si>
  <si>
    <t>Current exhaled NO</t>
  </si>
  <si>
    <t>Date current</t>
  </si>
  <si>
    <t>Historical highest exhaled NO</t>
  </si>
  <si>
    <t>date_exhaled_no</t>
  </si>
  <si>
    <t>Date highest</t>
  </si>
  <si>
    <t>date_highest_exhaled_no</t>
  </si>
  <si>
    <t>display_title=Pre-bronch FEV1</t>
  </si>
  <si>
    <t>display_title=Post-bronch FEV1</t>
  </si>
  <si>
    <t>expression=(get('post_bronch_fev1')-get('pre_bronch_fev1'))/get('pre_bronch_fev1')*100,expression_fail_value=NULL,fixed=1,data_type=number,display_title=Reversibility FEV1 %</t>
  </si>
  <si>
    <t>expression=(get('post_bronch_fev1')-get('pre_bronch_fev1'))*1000,expression_fail_value=NULL,fixed=1,data_type=number,display_title=Reversibility FEV1 mls</t>
  </si>
  <si>
    <t>date_field=other_measure_date</t>
  </si>
  <si>
    <t>display_title=Date exhaled NO,date_field=date_exhaled_no</t>
  </si>
  <si>
    <t>display_title=Exhaled NO value,date_field=date_exhaled_no</t>
  </si>
  <si>
    <t>display_title=Date highest exhaled NO,date_field=date_highest_exhaled_no</t>
  </si>
  <si>
    <t>display_title=Highest exhaled NO value,date_field=date_highest_exhaled_no</t>
  </si>
  <si>
    <t>radio_buttons</t>
  </si>
  <si>
    <t>DELETE</t>
  </si>
  <si>
    <t>ppb</t>
  </si>
  <si>
    <t>Exercise test date</t>
  </si>
  <si>
    <t>Exercise challenge of 6min run</t>
  </si>
  <si>
    <t>result</t>
  </si>
  <si>
    <t>1=Positive,2=Negative,3=Failed,4=Deferred</t>
  </si>
  <si>
    <t>VC</t>
  </si>
  <si>
    <t>exercise_test_date</t>
  </si>
  <si>
    <t>hc14</t>
  </si>
  <si>
    <t>hc15</t>
  </si>
  <si>
    <t>ec_fset</t>
  </si>
  <si>
    <t>Body pleth.</t>
  </si>
  <si>
    <t>bpleth_tab</t>
  </si>
  <si>
    <t>table</t>
  </si>
  <si>
    <t>var</t>
  </si>
  <si>
    <t>PredLL</t>
  </si>
  <si>
    <t>PredUL</t>
  </si>
  <si>
    <t>pred_ll</t>
  </si>
  <si>
    <t>pred_ul</t>
  </si>
  <si>
    <t>table_row</t>
  </si>
  <si>
    <t>item</t>
  </si>
  <si>
    <t>L</t>
  </si>
  <si>
    <t>R tot</t>
  </si>
  <si>
    <t>rtot_value</t>
  </si>
  <si>
    <t>rtot_pred_ll</t>
  </si>
  <si>
    <t>rtot_pred_ul</t>
  </si>
  <si>
    <t>R eff</t>
  </si>
  <si>
    <t>reff_value</t>
  </si>
  <si>
    <t>reff_pred_ll</t>
  </si>
  <si>
    <t>reff_pred_ul</t>
  </si>
  <si>
    <t>ITGV</t>
  </si>
  <si>
    <t>itgv_value</t>
  </si>
  <si>
    <t>itgv_pred_ll</t>
  </si>
  <si>
    <t>itgv_pred_ul</t>
  </si>
  <si>
    <t>vc_value</t>
  </si>
  <si>
    <t>vc_pred_ll</t>
  </si>
  <si>
    <t>vc_pred_ul</t>
  </si>
  <si>
    <t>tlc_value</t>
  </si>
  <si>
    <t>tlc_pred_ll</t>
  </si>
  <si>
    <t>tlc_pred_ul</t>
  </si>
  <si>
    <t>TLC</t>
  </si>
  <si>
    <t>sRaw</t>
  </si>
  <si>
    <t>sraw_value</t>
  </si>
  <si>
    <t>sraw_pred_ll</t>
  </si>
  <si>
    <t>sraw_pred_ul</t>
  </si>
  <si>
    <t>kPa*s/L</t>
  </si>
  <si>
    <t>RV</t>
  </si>
  <si>
    <t>RV/TLC ratio</t>
  </si>
  <si>
    <t>rv_value</t>
  </si>
  <si>
    <t>rv_pred_ll</t>
  </si>
  <si>
    <t>rv_pred_ul</t>
  </si>
  <si>
    <t>rv_tlc_ratio_value</t>
  </si>
  <si>
    <t>rv_tlc_ratio_pred_ll</t>
  </si>
  <si>
    <t>rv_tlc_ratio_pred_ul</t>
  </si>
  <si>
    <t>Other measures</t>
  </si>
  <si>
    <t>Exercise challenge test</t>
  </si>
  <si>
    <t>MBNW</t>
  </si>
  <si>
    <t>LCI</t>
  </si>
  <si>
    <t>S&lt;sub&gt;acrn&lt;/sub&gt;</t>
  </si>
  <si>
    <t>S&lt;sub&gt;cond&lt;/sub&gt;</t>
  </si>
  <si>
    <t>mbnw_fset</t>
  </si>
  <si>
    <t>mbnw_lci</t>
  </si>
  <si>
    <t>mbnw_scond</t>
  </si>
  <si>
    <t>mbnw_sacrn</t>
  </si>
  <si>
    <t>condition_test=N,condition_target=fset1,condition_action=hide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</si>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</sst>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  <xf numFmtId="0" fontId="6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top"/>
    </xf>
    <xf numFmtId="49" fontId="0" fillId="2" borderId="0" xfId="0" applyNumberFormat="1" applyFill="1" applyAlignment="1">
      <alignment vertical="top"/>
    </xf>
    <xf numFmtId="0" fontId="0" fillId="2" borderId="0" xfId="0" applyFill="1" applyAlignment="1">
      <alignment vertical="top"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>
      <selection activeCell="C7" sqref="C7"/>
    </sheetView>
  </sheetViews>
  <sheetFormatPr defaultColWidth="11" defaultRowHeight="15.75" x14ac:dyDescent="0.25"/>
  <cols>
    <col min="3" max="3" width="40.75" customWidth="1"/>
    <col min="4" max="4" width="26.875" customWidth="1"/>
    <col min="8" max="8" width="3.625" style="7" customWidth="1"/>
    <col min="9" max="9" width="13.875" customWidth="1"/>
    <col min="10" max="10" width="7.5" customWidth="1"/>
    <col min="11" max="11" width="4" customWidth="1"/>
    <col min="12" max="12" width="7" customWidth="1"/>
    <col min="14" max="14" width="78.875" style="11" customWidth="1"/>
  </cols>
  <sheetData>
    <row r="1" spans="1:14" s="3" customFormat="1" x14ac:dyDescent="0.25">
      <c r="A1" s="3" t="s">
        <v>87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5" t="s">
        <v>12</v>
      </c>
      <c r="I1" s="4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4" t="s">
        <v>18</v>
      </c>
    </row>
    <row r="2" spans="1:14" s="3" customFormat="1" x14ac:dyDescent="0.25">
      <c r="B2" s="3">
        <v>1</v>
      </c>
      <c r="C2" s="3" t="s">
        <v>36</v>
      </c>
      <c r="D2" s="3" t="s">
        <v>38</v>
      </c>
      <c r="E2" s="3" t="s">
        <v>37</v>
      </c>
      <c r="H2" s="5"/>
      <c r="I2" s="4"/>
      <c r="N2" s="4"/>
    </row>
    <row r="3" spans="1:14" s="3" customFormat="1" x14ac:dyDescent="0.25">
      <c r="B3" s="3">
        <v>2</v>
      </c>
      <c r="C3" s="3" t="s">
        <v>41</v>
      </c>
      <c r="D3" s="3" t="s">
        <v>39</v>
      </c>
      <c r="E3" s="3" t="s">
        <v>40</v>
      </c>
      <c r="H3" s="5"/>
      <c r="I3" s="4"/>
      <c r="N3" s="4"/>
    </row>
    <row r="4" spans="1:14" s="3" customFormat="1" x14ac:dyDescent="0.25">
      <c r="B4" s="3">
        <v>3</v>
      </c>
      <c r="C4" s="3" t="s">
        <v>46</v>
      </c>
      <c r="D4" s="3" t="s">
        <v>43</v>
      </c>
      <c r="E4" s="3" t="s">
        <v>33</v>
      </c>
      <c r="H4" s="5"/>
      <c r="I4" s="4"/>
      <c r="J4" s="3" t="s">
        <v>55</v>
      </c>
      <c r="K4" s="3" t="s">
        <v>56</v>
      </c>
      <c r="M4" s="3" t="s">
        <v>29</v>
      </c>
      <c r="N4" s="4"/>
    </row>
    <row r="5" spans="1:14" s="1" customFormat="1" x14ac:dyDescent="0.25">
      <c r="B5" s="1" t="s">
        <v>152</v>
      </c>
      <c r="C5" s="1" t="s">
        <v>58</v>
      </c>
      <c r="D5" s="1" t="s">
        <v>59</v>
      </c>
      <c r="E5" s="1" t="s">
        <v>60</v>
      </c>
      <c r="H5" s="6"/>
      <c r="I5" s="2"/>
      <c r="M5" s="3"/>
      <c r="N5" s="2" t="s">
        <v>151</v>
      </c>
    </row>
    <row r="6" spans="1:14" s="3" customFormat="1" x14ac:dyDescent="0.25">
      <c r="B6" s="3">
        <v>3</v>
      </c>
      <c r="D6" s="3" t="s">
        <v>28</v>
      </c>
      <c r="E6" s="3" t="s">
        <v>25</v>
      </c>
      <c r="H6" s="5"/>
      <c r="I6" s="4"/>
      <c r="N6" s="4"/>
    </row>
    <row r="7" spans="1:14" s="3" customFormat="1" x14ac:dyDescent="0.25">
      <c r="B7" s="3">
        <v>4</v>
      </c>
      <c r="C7" s="3" t="s">
        <v>52</v>
      </c>
      <c r="D7" s="3" t="s">
        <v>22</v>
      </c>
      <c r="E7" s="3" t="s">
        <v>21</v>
      </c>
      <c r="H7" s="5"/>
      <c r="I7" s="4"/>
      <c r="N7" s="4" t="s">
        <v>57</v>
      </c>
    </row>
    <row r="8" spans="1:14" s="1" customFormat="1" x14ac:dyDescent="0.25">
      <c r="B8" s="1">
        <v>5</v>
      </c>
      <c r="D8" s="1" t="s">
        <v>24</v>
      </c>
      <c r="E8" s="1" t="s">
        <v>25</v>
      </c>
      <c r="H8" s="6"/>
      <c r="I8" s="2"/>
      <c r="M8" s="3"/>
      <c r="N8" s="2"/>
    </row>
    <row r="9" spans="1:14" s="1" customFormat="1" x14ac:dyDescent="0.25">
      <c r="B9" s="1">
        <v>6</v>
      </c>
      <c r="C9" s="1" t="s">
        <v>51</v>
      </c>
      <c r="D9" s="1" t="s">
        <v>19</v>
      </c>
      <c r="E9" s="1" t="s">
        <v>0</v>
      </c>
      <c r="G9" s="1" t="s">
        <v>1</v>
      </c>
      <c r="H9" s="6" t="s">
        <v>35</v>
      </c>
      <c r="I9" s="2"/>
      <c r="M9" s="3" t="s">
        <v>29</v>
      </c>
      <c r="N9" s="2" t="s">
        <v>77</v>
      </c>
    </row>
    <row r="10" spans="1:14" s="1" customFormat="1" x14ac:dyDescent="0.25">
      <c r="B10" s="1">
        <v>6</v>
      </c>
      <c r="C10" s="1" t="s">
        <v>53</v>
      </c>
      <c r="D10" s="1" t="s">
        <v>48</v>
      </c>
      <c r="E10" s="1" t="s">
        <v>0</v>
      </c>
      <c r="G10" s="1" t="s">
        <v>2</v>
      </c>
      <c r="H10" s="6" t="s">
        <v>35</v>
      </c>
      <c r="I10" s="2"/>
      <c r="M10" s="3"/>
      <c r="N10" s="2"/>
    </row>
    <row r="11" spans="1:14" s="1" customFormat="1" x14ac:dyDescent="0.25">
      <c r="B11" s="1">
        <v>4</v>
      </c>
      <c r="C11" s="1" t="s">
        <v>54</v>
      </c>
      <c r="D11" s="1" t="s">
        <v>23</v>
      </c>
      <c r="E11" s="1" t="s">
        <v>21</v>
      </c>
      <c r="H11" s="5"/>
      <c r="I11" s="2"/>
      <c r="M11" s="3"/>
      <c r="N11" s="4" t="s">
        <v>57</v>
      </c>
    </row>
    <row r="12" spans="1:14" s="1" customFormat="1" x14ac:dyDescent="0.25">
      <c r="B12" s="1">
        <v>5</v>
      </c>
      <c r="D12" s="1" t="s">
        <v>26</v>
      </c>
      <c r="E12" s="1" t="s">
        <v>25</v>
      </c>
      <c r="H12" s="6"/>
      <c r="I12" s="2"/>
      <c r="M12" s="3"/>
      <c r="N12" s="2"/>
    </row>
    <row r="13" spans="1:14" s="1" customFormat="1" x14ac:dyDescent="0.25">
      <c r="B13" s="1">
        <v>6</v>
      </c>
      <c r="C13" s="1" t="s">
        <v>51</v>
      </c>
      <c r="D13" s="1" t="s">
        <v>20</v>
      </c>
      <c r="E13" s="1" t="s">
        <v>0</v>
      </c>
      <c r="G13" s="1" t="s">
        <v>1</v>
      </c>
      <c r="H13" s="6" t="s">
        <v>35</v>
      </c>
      <c r="I13" s="2"/>
      <c r="M13" s="3" t="s">
        <v>29</v>
      </c>
      <c r="N13" s="2" t="s">
        <v>78</v>
      </c>
    </row>
    <row r="14" spans="1:14" s="1" customFormat="1" x14ac:dyDescent="0.25">
      <c r="B14" s="1">
        <v>6</v>
      </c>
      <c r="C14" s="1" t="s">
        <v>53</v>
      </c>
      <c r="D14" s="1" t="s">
        <v>49</v>
      </c>
      <c r="E14" s="1" t="s">
        <v>0</v>
      </c>
      <c r="G14" s="1" t="s">
        <v>2</v>
      </c>
      <c r="H14" s="6" t="s">
        <v>35</v>
      </c>
      <c r="I14" s="2"/>
      <c r="M14" s="3"/>
      <c r="N14" s="9"/>
    </row>
    <row r="15" spans="1:14" s="1" customFormat="1" x14ac:dyDescent="0.25">
      <c r="B15" s="1">
        <v>3</v>
      </c>
      <c r="C15" s="1" t="s">
        <v>61</v>
      </c>
      <c r="D15" s="1" t="s">
        <v>32</v>
      </c>
      <c r="E15" s="1" t="s">
        <v>21</v>
      </c>
      <c r="H15" s="6"/>
      <c r="I15" s="2"/>
      <c r="M15" s="3"/>
      <c r="N15" s="10" t="s">
        <v>30</v>
      </c>
    </row>
    <row r="16" spans="1:14" s="1" customFormat="1" x14ac:dyDescent="0.25">
      <c r="B16" s="1">
        <v>4</v>
      </c>
      <c r="D16" s="1" t="s">
        <v>66</v>
      </c>
      <c r="E16" s="1" t="s">
        <v>25</v>
      </c>
      <c r="H16" s="6"/>
      <c r="I16" s="2"/>
      <c r="M16" s="3"/>
      <c r="N16" s="2"/>
    </row>
    <row r="17" spans="2:14" s="1" customFormat="1" ht="47.25" x14ac:dyDescent="0.25">
      <c r="B17" s="1">
        <v>5</v>
      </c>
      <c r="D17" s="1" t="s">
        <v>64</v>
      </c>
      <c r="E17" s="1" t="s">
        <v>34</v>
      </c>
      <c r="G17" s="1" t="s">
        <v>2</v>
      </c>
      <c r="H17" s="6" t="s">
        <v>35</v>
      </c>
      <c r="I17" s="2"/>
      <c r="M17" s="3"/>
      <c r="N17" s="2" t="s">
        <v>79</v>
      </c>
    </row>
    <row r="18" spans="2:14" s="1" customFormat="1" ht="47.25" x14ac:dyDescent="0.25">
      <c r="B18" s="1">
        <v>5</v>
      </c>
      <c r="D18" s="1" t="s">
        <v>62</v>
      </c>
      <c r="E18" s="1" t="s">
        <v>34</v>
      </c>
      <c r="G18" s="1" t="s">
        <v>63</v>
      </c>
      <c r="H18" s="6" t="s">
        <v>35</v>
      </c>
      <c r="I18" s="2"/>
      <c r="M18" s="3"/>
      <c r="N18" s="2" t="s">
        <v>80</v>
      </c>
    </row>
    <row r="19" spans="2:14" s="1" customFormat="1" x14ac:dyDescent="0.25">
      <c r="B19" s="1">
        <v>3</v>
      </c>
      <c r="C19" s="1" t="s">
        <v>67</v>
      </c>
      <c r="D19" s="1" t="s">
        <v>65</v>
      </c>
      <c r="E19" s="1" t="s">
        <v>21</v>
      </c>
      <c r="H19" s="6"/>
      <c r="I19" s="2"/>
      <c r="M19" s="3"/>
      <c r="N19" s="10" t="s">
        <v>30</v>
      </c>
    </row>
    <row r="20" spans="2:14" s="1" customFormat="1" x14ac:dyDescent="0.25">
      <c r="B20" s="1">
        <v>4</v>
      </c>
      <c r="D20" s="1" t="s">
        <v>31</v>
      </c>
      <c r="E20" s="1" t="s">
        <v>25</v>
      </c>
      <c r="H20" s="6"/>
      <c r="I20" s="2"/>
      <c r="M20" s="3"/>
      <c r="N20" s="2" t="s">
        <v>69</v>
      </c>
    </row>
    <row r="21" spans="2:14" s="1" customFormat="1" x14ac:dyDescent="0.25">
      <c r="B21" s="1">
        <v>5</v>
      </c>
      <c r="C21" s="1" t="s">
        <v>68</v>
      </c>
      <c r="D21" s="1" t="s">
        <v>50</v>
      </c>
      <c r="E21" s="1" t="s">
        <v>0</v>
      </c>
      <c r="G21" s="1" t="s">
        <v>45</v>
      </c>
      <c r="H21" s="6"/>
      <c r="I21" s="2"/>
      <c r="M21" s="3" t="s">
        <v>29</v>
      </c>
      <c r="N21" s="2"/>
    </row>
    <row r="22" spans="2:14" s="1" customFormat="1" x14ac:dyDescent="0.25">
      <c r="B22" s="1">
        <v>2</v>
      </c>
      <c r="C22" s="1" t="s">
        <v>141</v>
      </c>
      <c r="D22" s="1" t="s">
        <v>42</v>
      </c>
      <c r="E22" s="1" t="s">
        <v>40</v>
      </c>
      <c r="H22" s="6" t="s">
        <v>35</v>
      </c>
      <c r="I22" s="2"/>
      <c r="J22" s="8"/>
      <c r="K22" s="8"/>
      <c r="M22" s="3"/>
      <c r="N22" s="9"/>
    </row>
    <row r="23" spans="2:14" s="3" customFormat="1" x14ac:dyDescent="0.25">
      <c r="B23" s="3">
        <v>3</v>
      </c>
      <c r="C23" s="3" t="s">
        <v>47</v>
      </c>
      <c r="D23" s="3" t="s">
        <v>44</v>
      </c>
      <c r="E23" s="3" t="s">
        <v>33</v>
      </c>
      <c r="H23" s="5"/>
      <c r="I23" s="4"/>
      <c r="J23" s="3" t="s">
        <v>55</v>
      </c>
      <c r="K23" s="3" t="s">
        <v>56</v>
      </c>
      <c r="N23" s="4" t="s">
        <v>81</v>
      </c>
    </row>
    <row r="24" spans="2:14" s="1" customFormat="1" x14ac:dyDescent="0.25">
      <c r="B24" s="1">
        <v>3</v>
      </c>
      <c r="C24" s="12" t="s">
        <v>142</v>
      </c>
      <c r="D24" s="1" t="s">
        <v>97</v>
      </c>
      <c r="E24" s="12" t="s">
        <v>21</v>
      </c>
      <c r="F24" s="12"/>
      <c r="G24" s="12"/>
      <c r="H24" s="13"/>
      <c r="I24" s="14"/>
      <c r="M24" s="3"/>
      <c r="N24" s="4" t="s">
        <v>30</v>
      </c>
    </row>
    <row r="25" spans="2:14" s="1" customFormat="1" x14ac:dyDescent="0.25">
      <c r="B25" s="1">
        <v>4</v>
      </c>
      <c r="C25" s="12" t="s">
        <v>89</v>
      </c>
      <c r="D25" s="12" t="s">
        <v>94</v>
      </c>
      <c r="E25" s="12" t="s">
        <v>33</v>
      </c>
      <c r="F25" s="12"/>
      <c r="G25" s="12"/>
      <c r="H25" s="13"/>
      <c r="I25" s="14"/>
      <c r="M25" s="3"/>
      <c r="N25" s="4"/>
    </row>
    <row r="26" spans="2:14" s="1" customFormat="1" ht="47.25" x14ac:dyDescent="0.25">
      <c r="B26" s="1">
        <v>4</v>
      </c>
      <c r="C26" s="12" t="s">
        <v>90</v>
      </c>
      <c r="D26" s="12" t="s">
        <v>91</v>
      </c>
      <c r="E26" s="12" t="s">
        <v>86</v>
      </c>
      <c r="F26" s="12"/>
      <c r="G26" s="12"/>
      <c r="H26" s="13"/>
      <c r="I26" s="14" t="s">
        <v>92</v>
      </c>
      <c r="M26" s="3"/>
      <c r="N26" s="4"/>
    </row>
    <row r="27" spans="2:14" s="1" customFormat="1" x14ac:dyDescent="0.25">
      <c r="B27" s="1">
        <v>3</v>
      </c>
      <c r="C27" s="1" t="s">
        <v>3</v>
      </c>
      <c r="D27" s="1" t="s">
        <v>70</v>
      </c>
      <c r="E27" s="1" t="s">
        <v>21</v>
      </c>
      <c r="H27" s="6"/>
      <c r="I27" s="2"/>
      <c r="M27" s="3"/>
      <c r="N27" s="2" t="s">
        <v>30</v>
      </c>
    </row>
    <row r="28" spans="2:14" s="1" customFormat="1" x14ac:dyDescent="0.25">
      <c r="B28" s="1">
        <v>4</v>
      </c>
      <c r="D28" s="1" t="s">
        <v>95</v>
      </c>
      <c r="E28" s="1" t="s">
        <v>25</v>
      </c>
      <c r="H28" s="6"/>
      <c r="I28" s="2"/>
      <c r="M28" s="3"/>
      <c r="N28" s="2"/>
    </row>
    <row r="29" spans="2:14" s="1" customFormat="1" x14ac:dyDescent="0.25">
      <c r="B29" s="1">
        <v>5</v>
      </c>
      <c r="C29" s="1" t="s">
        <v>72</v>
      </c>
      <c r="D29" s="1" t="s">
        <v>74</v>
      </c>
      <c r="E29" s="1" t="s">
        <v>33</v>
      </c>
      <c r="H29" s="6"/>
      <c r="I29" s="2"/>
      <c r="M29" s="3"/>
      <c r="N29" s="2" t="s">
        <v>82</v>
      </c>
    </row>
    <row r="30" spans="2:14" s="1" customFormat="1" x14ac:dyDescent="0.25">
      <c r="B30" s="1">
        <v>5</v>
      </c>
      <c r="C30" s="1" t="s">
        <v>71</v>
      </c>
      <c r="D30" s="1" t="s">
        <v>4</v>
      </c>
      <c r="E30" s="1" t="s">
        <v>0</v>
      </c>
      <c r="G30" s="1" t="s">
        <v>88</v>
      </c>
      <c r="H30" s="6">
        <v>3</v>
      </c>
      <c r="I30" s="2"/>
      <c r="M30" s="3"/>
      <c r="N30" s="2" t="s">
        <v>83</v>
      </c>
    </row>
    <row r="31" spans="2:14" s="1" customFormat="1" x14ac:dyDescent="0.25">
      <c r="B31" s="1">
        <v>4</v>
      </c>
      <c r="D31" s="1" t="s">
        <v>96</v>
      </c>
      <c r="E31" s="1" t="s">
        <v>25</v>
      </c>
      <c r="H31" s="6"/>
      <c r="I31" s="2"/>
      <c r="M31" s="3"/>
      <c r="N31" s="2"/>
    </row>
    <row r="32" spans="2:14" s="1" customFormat="1" x14ac:dyDescent="0.25">
      <c r="B32" s="1">
        <v>5</v>
      </c>
      <c r="C32" s="1" t="s">
        <v>75</v>
      </c>
      <c r="D32" s="1" t="s">
        <v>76</v>
      </c>
      <c r="E32" s="1" t="s">
        <v>33</v>
      </c>
      <c r="H32" s="6"/>
      <c r="I32" s="2"/>
      <c r="M32" s="3"/>
      <c r="N32" s="2" t="s">
        <v>84</v>
      </c>
    </row>
    <row r="33" spans="2:14" s="1" customFormat="1" x14ac:dyDescent="0.25">
      <c r="B33" s="1">
        <v>5</v>
      </c>
      <c r="C33" s="1" t="s">
        <v>73</v>
      </c>
      <c r="D33" s="1" t="s">
        <v>5</v>
      </c>
      <c r="E33" s="1" t="s">
        <v>0</v>
      </c>
      <c r="G33" s="1" t="s">
        <v>88</v>
      </c>
      <c r="H33" s="6">
        <v>3</v>
      </c>
      <c r="I33" s="2"/>
      <c r="M33" s="3"/>
      <c r="N33" s="2" t="s">
        <v>85</v>
      </c>
    </row>
    <row r="34" spans="2:14" s="1" customFormat="1" x14ac:dyDescent="0.25">
      <c r="B34" s="1">
        <v>3</v>
      </c>
      <c r="C34" s="1" t="s">
        <v>143</v>
      </c>
      <c r="D34" s="1" t="s">
        <v>147</v>
      </c>
      <c r="E34" s="1" t="s">
        <v>21</v>
      </c>
      <c r="H34" s="6"/>
      <c r="I34" s="2"/>
      <c r="M34" s="3"/>
      <c r="N34" s="2" t="s">
        <v>30</v>
      </c>
    </row>
    <row r="35" spans="2:14" s="1" customFormat="1" x14ac:dyDescent="0.25">
      <c r="B35" s="1">
        <v>4</v>
      </c>
      <c r="C35" s="1" t="s">
        <v>144</v>
      </c>
      <c r="D35" s="1" t="s">
        <v>148</v>
      </c>
      <c r="E35" s="1" t="s">
        <v>0</v>
      </c>
      <c r="H35" s="6"/>
      <c r="I35" s="2"/>
      <c r="M35" s="3"/>
      <c r="N35" s="2"/>
    </row>
    <row r="36" spans="2:14" s="1" customFormat="1" x14ac:dyDescent="0.25">
      <c r="B36" s="1">
        <v>4</v>
      </c>
      <c r="C36" s="1" t="s">
        <v>146</v>
      </c>
      <c r="D36" s="1" t="s">
        <v>149</v>
      </c>
      <c r="E36" s="1" t="s">
        <v>0</v>
      </c>
      <c r="H36" s="6"/>
      <c r="I36" s="2"/>
      <c r="M36" s="3"/>
      <c r="N36" s="2"/>
    </row>
    <row r="37" spans="2:14" s="1" customFormat="1" x14ac:dyDescent="0.25">
      <c r="B37" s="1">
        <v>4</v>
      </c>
      <c r="C37" s="1" t="s">
        <v>145</v>
      </c>
      <c r="D37" s="1" t="s">
        <v>150</v>
      </c>
      <c r="E37" s="1" t="s">
        <v>0</v>
      </c>
      <c r="H37" s="6"/>
      <c r="I37" s="2"/>
      <c r="M37" s="3"/>
      <c r="N37" s="2"/>
    </row>
    <row r="38" spans="2:14" s="3" customFormat="1" x14ac:dyDescent="0.25">
      <c r="B38" s="3">
        <v>2</v>
      </c>
      <c r="C38" s="3" t="s">
        <v>98</v>
      </c>
      <c r="D38" s="3" t="s">
        <v>99</v>
      </c>
      <c r="E38" s="3" t="s">
        <v>40</v>
      </c>
      <c r="H38" s="5"/>
      <c r="I38" s="4"/>
      <c r="N38" s="4"/>
    </row>
    <row r="39" spans="2:14" s="3" customFormat="1" x14ac:dyDescent="0.25">
      <c r="B39" s="3">
        <v>3</v>
      </c>
      <c r="E39" s="3" t="s">
        <v>100</v>
      </c>
      <c r="H39" s="5"/>
      <c r="I39" s="4"/>
      <c r="N39" s="4"/>
    </row>
    <row r="40" spans="2:14" s="3" customFormat="1" x14ac:dyDescent="0.25">
      <c r="B40" s="3">
        <v>4</v>
      </c>
      <c r="E40" s="3" t="s">
        <v>106</v>
      </c>
      <c r="H40" s="5"/>
      <c r="I40" s="4"/>
      <c r="N40" s="4"/>
    </row>
    <row r="41" spans="2:14" s="3" customFormat="1" x14ac:dyDescent="0.25">
      <c r="B41" s="3">
        <v>5</v>
      </c>
      <c r="C41" s="3" t="s">
        <v>27</v>
      </c>
      <c r="D41" s="3" t="s">
        <v>101</v>
      </c>
      <c r="E41" s="3" t="s">
        <v>107</v>
      </c>
      <c r="H41" s="5"/>
      <c r="I41" s="4"/>
      <c r="N41" s="4"/>
    </row>
    <row r="42" spans="2:14" s="3" customFormat="1" x14ac:dyDescent="0.25">
      <c r="B42" s="3">
        <v>5</v>
      </c>
      <c r="C42" s="3" t="s">
        <v>102</v>
      </c>
      <c r="D42" s="3" t="s">
        <v>104</v>
      </c>
      <c r="E42" s="3" t="s">
        <v>107</v>
      </c>
      <c r="H42" s="5"/>
      <c r="I42" s="4"/>
      <c r="N42" s="4"/>
    </row>
    <row r="43" spans="2:14" s="3" customFormat="1" x14ac:dyDescent="0.25">
      <c r="B43" s="3">
        <v>5</v>
      </c>
      <c r="C43" s="3" t="s">
        <v>103</v>
      </c>
      <c r="D43" s="3" t="s">
        <v>105</v>
      </c>
      <c r="E43" s="3" t="s">
        <v>107</v>
      </c>
      <c r="H43" s="5"/>
      <c r="I43" s="4"/>
      <c r="N43" s="4"/>
    </row>
    <row r="44" spans="2:14" s="3" customFormat="1" x14ac:dyDescent="0.25">
      <c r="B44" s="3">
        <v>4</v>
      </c>
      <c r="E44" s="3" t="s">
        <v>106</v>
      </c>
      <c r="H44" s="5"/>
      <c r="I44" s="4"/>
      <c r="N44" s="4"/>
    </row>
    <row r="45" spans="2:14" s="3" customFormat="1" x14ac:dyDescent="0.25">
      <c r="B45" s="3">
        <v>5</v>
      </c>
      <c r="C45" s="1" t="s">
        <v>133</v>
      </c>
      <c r="D45" s="3" t="s">
        <v>135</v>
      </c>
      <c r="E45" s="3" t="s">
        <v>0</v>
      </c>
      <c r="G45" s="3" t="s">
        <v>108</v>
      </c>
      <c r="H45" s="5"/>
      <c r="I45" s="4"/>
      <c r="N45" s="4"/>
    </row>
    <row r="46" spans="2:14" s="3" customFormat="1" x14ac:dyDescent="0.25">
      <c r="B46" s="3">
        <v>5</v>
      </c>
      <c r="D46" s="3" t="s">
        <v>136</v>
      </c>
      <c r="E46" s="3" t="s">
        <v>0</v>
      </c>
      <c r="G46" s="3" t="s">
        <v>108</v>
      </c>
      <c r="H46" s="5"/>
      <c r="I46" s="4"/>
      <c r="N46" s="4"/>
    </row>
    <row r="47" spans="2:14" s="3" customFormat="1" x14ac:dyDescent="0.25">
      <c r="B47" s="3">
        <v>5</v>
      </c>
      <c r="D47" s="3" t="s">
        <v>137</v>
      </c>
      <c r="E47" s="3" t="s">
        <v>0</v>
      </c>
      <c r="G47" s="3" t="s">
        <v>108</v>
      </c>
      <c r="H47" s="5"/>
      <c r="I47" s="4"/>
      <c r="N47" s="4"/>
    </row>
    <row r="48" spans="2:14" s="3" customFormat="1" x14ac:dyDescent="0.25">
      <c r="B48" s="3">
        <v>4</v>
      </c>
      <c r="E48" s="3" t="s">
        <v>106</v>
      </c>
      <c r="H48" s="5"/>
      <c r="I48" s="4"/>
      <c r="N48" s="4"/>
    </row>
    <row r="49" spans="2:14" s="3" customFormat="1" x14ac:dyDescent="0.25">
      <c r="B49" s="3">
        <v>5</v>
      </c>
      <c r="C49" s="1" t="s">
        <v>134</v>
      </c>
      <c r="D49" s="3" t="s">
        <v>138</v>
      </c>
      <c r="E49" s="3" t="s">
        <v>0</v>
      </c>
      <c r="G49" s="3" t="s">
        <v>2</v>
      </c>
      <c r="H49" s="5"/>
      <c r="I49" s="4"/>
      <c r="N49" s="4"/>
    </row>
    <row r="50" spans="2:14" s="3" customFormat="1" x14ac:dyDescent="0.25">
      <c r="B50" s="3">
        <v>5</v>
      </c>
      <c r="D50" s="3" t="s">
        <v>139</v>
      </c>
      <c r="E50" s="3" t="s">
        <v>0</v>
      </c>
      <c r="G50" s="3" t="s">
        <v>2</v>
      </c>
      <c r="H50" s="5"/>
      <c r="I50" s="4"/>
      <c r="N50" s="4"/>
    </row>
    <row r="51" spans="2:14" s="3" customFormat="1" x14ac:dyDescent="0.25">
      <c r="B51" s="3">
        <v>5</v>
      </c>
      <c r="D51" s="3" t="s">
        <v>140</v>
      </c>
      <c r="E51" s="3" t="s">
        <v>0</v>
      </c>
      <c r="G51" s="3" t="s">
        <v>2</v>
      </c>
      <c r="H51" s="5"/>
      <c r="I51" s="4"/>
      <c r="N51" s="4"/>
    </row>
    <row r="52" spans="2:14" s="3" customFormat="1" x14ac:dyDescent="0.25">
      <c r="B52" s="3">
        <v>4</v>
      </c>
      <c r="E52" s="3" t="s">
        <v>106</v>
      </c>
      <c r="H52" s="5"/>
      <c r="I52" s="4"/>
      <c r="N52" s="4"/>
    </row>
    <row r="53" spans="2:14" s="3" customFormat="1" x14ac:dyDescent="0.25">
      <c r="B53" s="3">
        <v>5</v>
      </c>
      <c r="C53" s="1" t="s">
        <v>109</v>
      </c>
      <c r="D53" s="3" t="s">
        <v>110</v>
      </c>
      <c r="E53" s="3" t="s">
        <v>0</v>
      </c>
      <c r="G53" s="3" t="s">
        <v>132</v>
      </c>
      <c r="H53" s="5"/>
      <c r="I53" s="4"/>
      <c r="N53" s="4"/>
    </row>
    <row r="54" spans="2:14" s="3" customFormat="1" x14ac:dyDescent="0.25">
      <c r="B54" s="3">
        <v>5</v>
      </c>
      <c r="D54" s="3" t="s">
        <v>111</v>
      </c>
      <c r="E54" s="3" t="s">
        <v>0</v>
      </c>
      <c r="G54" s="3" t="s">
        <v>132</v>
      </c>
      <c r="H54" s="5"/>
      <c r="I54" s="4"/>
      <c r="N54" s="4"/>
    </row>
    <row r="55" spans="2:14" s="3" customFormat="1" x14ac:dyDescent="0.25">
      <c r="B55" s="3">
        <v>5</v>
      </c>
      <c r="D55" s="3" t="s">
        <v>112</v>
      </c>
      <c r="E55" s="3" t="s">
        <v>0</v>
      </c>
      <c r="G55" s="3" t="s">
        <v>132</v>
      </c>
      <c r="H55" s="5"/>
      <c r="I55" s="4"/>
      <c r="N55" s="4"/>
    </row>
    <row r="56" spans="2:14" s="3" customFormat="1" x14ac:dyDescent="0.25">
      <c r="B56" s="3">
        <v>4</v>
      </c>
      <c r="E56" s="3" t="s">
        <v>106</v>
      </c>
      <c r="H56" s="5"/>
      <c r="I56" s="4"/>
      <c r="N56" s="4"/>
    </row>
    <row r="57" spans="2:14" s="3" customFormat="1" x14ac:dyDescent="0.25">
      <c r="B57" s="3">
        <v>5</v>
      </c>
      <c r="C57" s="1" t="s">
        <v>113</v>
      </c>
      <c r="D57" s="3" t="s">
        <v>114</v>
      </c>
      <c r="E57" s="3" t="s">
        <v>0</v>
      </c>
      <c r="G57" s="3" t="s">
        <v>132</v>
      </c>
      <c r="H57" s="5"/>
      <c r="I57" s="4"/>
      <c r="N57" s="4"/>
    </row>
    <row r="58" spans="2:14" s="3" customFormat="1" x14ac:dyDescent="0.25">
      <c r="B58" s="3">
        <v>5</v>
      </c>
      <c r="D58" s="3" t="s">
        <v>115</v>
      </c>
      <c r="E58" s="3" t="s">
        <v>0</v>
      </c>
      <c r="G58" s="3" t="s">
        <v>132</v>
      </c>
      <c r="H58" s="5"/>
      <c r="I58" s="4"/>
      <c r="N58" s="4"/>
    </row>
    <row r="59" spans="2:14" s="3" customFormat="1" x14ac:dyDescent="0.25">
      <c r="B59" s="3">
        <v>5</v>
      </c>
      <c r="D59" s="3" t="s">
        <v>116</v>
      </c>
      <c r="E59" s="3" t="s">
        <v>0</v>
      </c>
      <c r="G59" s="3" t="s">
        <v>132</v>
      </c>
      <c r="H59" s="5"/>
      <c r="I59" s="4"/>
      <c r="N59" s="4"/>
    </row>
    <row r="60" spans="2:14" s="3" customFormat="1" x14ac:dyDescent="0.25">
      <c r="B60" s="3">
        <v>4</v>
      </c>
      <c r="E60" s="3" t="s">
        <v>106</v>
      </c>
      <c r="H60" s="5"/>
      <c r="I60" s="4"/>
      <c r="N60" s="4"/>
    </row>
    <row r="61" spans="2:14" s="3" customFormat="1" x14ac:dyDescent="0.25">
      <c r="B61" s="3">
        <v>5</v>
      </c>
      <c r="C61" s="1" t="s">
        <v>117</v>
      </c>
      <c r="D61" s="3" t="s">
        <v>118</v>
      </c>
      <c r="E61" s="3" t="s">
        <v>0</v>
      </c>
      <c r="G61" s="3" t="s">
        <v>108</v>
      </c>
      <c r="H61" s="5"/>
      <c r="I61" s="4"/>
      <c r="N61" s="4"/>
    </row>
    <row r="62" spans="2:14" s="3" customFormat="1" x14ac:dyDescent="0.25">
      <c r="B62" s="3">
        <v>5</v>
      </c>
      <c r="D62" s="3" t="s">
        <v>119</v>
      </c>
      <c r="E62" s="3" t="s">
        <v>0</v>
      </c>
      <c r="G62" s="3" t="s">
        <v>108</v>
      </c>
      <c r="H62" s="5"/>
      <c r="I62" s="4"/>
      <c r="N62" s="4"/>
    </row>
    <row r="63" spans="2:14" s="3" customFormat="1" x14ac:dyDescent="0.25">
      <c r="B63" s="3">
        <v>5</v>
      </c>
      <c r="D63" s="3" t="s">
        <v>120</v>
      </c>
      <c r="E63" s="3" t="s">
        <v>0</v>
      </c>
      <c r="G63" s="3" t="s">
        <v>108</v>
      </c>
      <c r="H63" s="5"/>
      <c r="I63" s="4"/>
      <c r="N63" s="4"/>
    </row>
    <row r="64" spans="2:14" s="3" customFormat="1" x14ac:dyDescent="0.25">
      <c r="B64" s="3">
        <v>4</v>
      </c>
      <c r="E64" s="3" t="s">
        <v>106</v>
      </c>
      <c r="H64" s="5"/>
      <c r="I64" s="4"/>
      <c r="N64" s="4"/>
    </row>
    <row r="65" spans="2:14" s="3" customFormat="1" x14ac:dyDescent="0.25">
      <c r="B65" s="3">
        <v>5</v>
      </c>
      <c r="C65" s="1" t="s">
        <v>93</v>
      </c>
      <c r="D65" s="3" t="s">
        <v>121</v>
      </c>
      <c r="E65" s="3" t="s">
        <v>0</v>
      </c>
      <c r="G65" s="3" t="s">
        <v>108</v>
      </c>
      <c r="H65" s="5"/>
      <c r="I65" s="4"/>
      <c r="N65" s="4"/>
    </row>
    <row r="66" spans="2:14" s="3" customFormat="1" x14ac:dyDescent="0.25">
      <c r="B66" s="3">
        <v>5</v>
      </c>
      <c r="D66" s="3" t="s">
        <v>122</v>
      </c>
      <c r="E66" s="3" t="s">
        <v>0</v>
      </c>
      <c r="G66" s="3" t="s">
        <v>108</v>
      </c>
      <c r="H66" s="5"/>
      <c r="I66" s="4"/>
      <c r="N66" s="4"/>
    </row>
    <row r="67" spans="2:14" s="3" customFormat="1" x14ac:dyDescent="0.25">
      <c r="B67" s="3">
        <v>5</v>
      </c>
      <c r="D67" s="3" t="s">
        <v>123</v>
      </c>
      <c r="E67" s="3" t="s">
        <v>0</v>
      </c>
      <c r="G67" s="3" t="s">
        <v>108</v>
      </c>
      <c r="H67" s="5"/>
      <c r="I67" s="4"/>
      <c r="N67" s="4"/>
    </row>
    <row r="68" spans="2:14" s="3" customFormat="1" x14ac:dyDescent="0.25">
      <c r="B68" s="3">
        <v>4</v>
      </c>
      <c r="E68" s="3" t="s">
        <v>106</v>
      </c>
      <c r="H68" s="5"/>
      <c r="I68" s="4"/>
      <c r="N68" s="4"/>
    </row>
    <row r="69" spans="2:14" s="3" customFormat="1" x14ac:dyDescent="0.25">
      <c r="B69" s="3">
        <v>5</v>
      </c>
      <c r="C69" s="1" t="s">
        <v>127</v>
      </c>
      <c r="D69" s="3" t="s">
        <v>124</v>
      </c>
      <c r="E69" s="3" t="s">
        <v>0</v>
      </c>
      <c r="G69" s="3" t="s">
        <v>108</v>
      </c>
      <c r="H69" s="5"/>
      <c r="I69" s="4"/>
      <c r="N69" s="4"/>
    </row>
    <row r="70" spans="2:14" s="3" customFormat="1" x14ac:dyDescent="0.25">
      <c r="B70" s="3">
        <v>5</v>
      </c>
      <c r="D70" s="3" t="s">
        <v>125</v>
      </c>
      <c r="E70" s="3" t="s">
        <v>0</v>
      </c>
      <c r="G70" s="3" t="s">
        <v>108</v>
      </c>
      <c r="H70" s="5"/>
      <c r="I70" s="4"/>
      <c r="N70" s="4"/>
    </row>
    <row r="71" spans="2:14" s="3" customFormat="1" x14ac:dyDescent="0.25">
      <c r="B71" s="3">
        <v>5</v>
      </c>
      <c r="D71" s="3" t="s">
        <v>126</v>
      </c>
      <c r="E71" s="3" t="s">
        <v>0</v>
      </c>
      <c r="G71" s="3" t="s">
        <v>108</v>
      </c>
      <c r="H71" s="5"/>
      <c r="I71" s="4"/>
      <c r="N71" s="4"/>
    </row>
    <row r="72" spans="2:14" s="3" customFormat="1" x14ac:dyDescent="0.25">
      <c r="B72" s="3">
        <v>4</v>
      </c>
      <c r="E72" s="3" t="s">
        <v>106</v>
      </c>
      <c r="H72" s="5"/>
      <c r="I72" s="4"/>
      <c r="N72" s="4"/>
    </row>
    <row r="73" spans="2:14" s="3" customFormat="1" x14ac:dyDescent="0.25">
      <c r="B73" s="3">
        <v>5</v>
      </c>
      <c r="C73" s="1" t="s">
        <v>128</v>
      </c>
      <c r="D73" s="3" t="s">
        <v>129</v>
      </c>
      <c r="E73" s="3" t="s">
        <v>0</v>
      </c>
      <c r="G73" s="3" t="s">
        <v>108</v>
      </c>
      <c r="H73" s="5"/>
      <c r="I73" s="4"/>
      <c r="N73" s="4"/>
    </row>
    <row r="74" spans="2:14" s="3" customFormat="1" x14ac:dyDescent="0.25">
      <c r="B74" s="3">
        <v>5</v>
      </c>
      <c r="D74" s="3" t="s">
        <v>130</v>
      </c>
      <c r="E74" s="3" t="s">
        <v>0</v>
      </c>
      <c r="G74" s="3" t="s">
        <v>108</v>
      </c>
      <c r="H74" s="5"/>
      <c r="I74" s="4"/>
      <c r="N74" s="4"/>
    </row>
    <row r="75" spans="2:14" s="3" customFormat="1" x14ac:dyDescent="0.25">
      <c r="B75" s="3">
        <v>5</v>
      </c>
      <c r="D75" s="3" t="s">
        <v>131</v>
      </c>
      <c r="E75" s="3" t="s">
        <v>0</v>
      </c>
      <c r="G75" s="3" t="s">
        <v>108</v>
      </c>
      <c r="H75" s="5"/>
      <c r="I75" s="4"/>
      <c r="N75" s="4"/>
    </row>
  </sheetData>
  <phoneticPr fontId="0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75" x14ac:dyDescent="0.25"/>
  <sheetData>
    <row r="1" spans="1:1" x14ac:dyDescent="0.25">
      <c r="A1">
        <f>(2.081+(0.5846*1.8^3))-(0.01599*19)*1.8</f>
        <v>4.9435292000000004</v>
      </c>
    </row>
  </sheetData>
  <phoneticPr fontId="0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Research Fellow</cp:lastModifiedBy>
  <dcterms:created xsi:type="dcterms:W3CDTF">2012-11-28T09:46:33Z</dcterms:created>
  <dcterms:modified xsi:type="dcterms:W3CDTF">2018-08-21T08:24:37Z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a6b70a47-fc51-463e-99b7-4f535e4c0282</vt:lpwstr>
  </property>
</Properties>
</file>