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0" yWindow="0" windowWidth="28800" windowHeight="15555" tabRatio="500"/>
  </bookViews>
  <sheets>
    <sheet name="Sheet1" sheetId="1" r:id="rId1"/>
    <sheet name="Sheet2" sheetId="2" r:id="rId2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<sst xmlns="http://schemas.openxmlformats.org/spreadsheetml/2006/main" count="329" uniqueCount="198">
  <si>
    <t>number</t>
  </si>
  <si>
    <t>l</t>
  </si>
  <si>
    <t>Pre-bronchodilator FVC</t>
  </si>
  <si>
    <t>Post-bronchodilator FVC</t>
  </si>
  <si>
    <t>Residual volume</t>
  </si>
  <si>
    <t>residual_volume</t>
  </si>
  <si>
    <t>%</t>
  </si>
  <si>
    <t>Total lung capacity</t>
  </si>
  <si>
    <t>total_lung_capacity</t>
  </si>
  <si>
    <t>KCO</t>
  </si>
  <si>
    <t>kco</t>
  </si>
  <si>
    <t>pc20_methacholine_histamine</t>
  </si>
  <si>
    <t>Exhaled NO</t>
  </si>
  <si>
    <t>exhaled_no</t>
  </si>
  <si>
    <t>50 ml s &lt;sup&gt;-1&lt;/sup&gt;</t>
  </si>
  <si>
    <t>highest_exhaled_no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</si>
  <si>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</si>
  <si>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</si>
  <si>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</si>
  <si>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</si>
  <si>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</si>
  <si>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</si>
  <si>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</si>
  <si>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</si>
  <si>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</si>
  <si>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</si>
  <si>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</si>
  <si>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</si>
  <si>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</si>
  <si>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pre_bronch_fev1</t>
  </si>
  <si>
    <t>post_bronch_fev1</t>
  </si>
  <si>
    <t>pre_bronch_fvc</t>
  </si>
  <si>
    <t>post_bronch_fvc</t>
  </si>
  <si>
    <t>fieldset</t>
  </si>
  <si>
    <t>Other measurements</t>
  </si>
  <si>
    <t>other_fset</t>
  </si>
  <si>
    <t>fset1</t>
  </si>
  <si>
    <t>fset2</t>
  </si>
  <si>
    <t>fset3</t>
  </si>
  <si>
    <t>FVC</t>
  </si>
  <si>
    <t>% predicted FVC</t>
  </si>
  <si>
    <t>fset4</t>
  </si>
  <si>
    <t>hc1</t>
  </si>
  <si>
    <t>horiz_container</t>
  </si>
  <si>
    <t>hc2</t>
  </si>
  <si>
    <t>hc3</t>
  </si>
  <si>
    <t>hc4</t>
  </si>
  <si>
    <t>fset5</t>
  </si>
  <si>
    <t>hc5</t>
  </si>
  <si>
    <t>% predicted best</t>
  </si>
  <si>
    <t>Value</t>
  </si>
  <si>
    <t>hc0</t>
  </si>
  <si>
    <t>hc6</t>
  </si>
  <si>
    <t>Y</t>
  </si>
  <si>
    <t>compress=1</t>
  </si>
  <si>
    <t>hc7</t>
  </si>
  <si>
    <t>hc8</t>
  </si>
  <si>
    <t>hc9</t>
  </si>
  <si>
    <t>% predicted</t>
  </si>
  <si>
    <t>fset6</t>
  </si>
  <si>
    <t>fset7</t>
  </si>
  <si>
    <t>hc10</t>
  </si>
  <si>
    <t>hc11</t>
  </si>
  <si>
    <t>Concepts</t>
  </si>
  <si>
    <t>PC&lt;sub&gt;20&lt;/sub&gt; methacholine/histamine</t>
  </si>
  <si>
    <t>date</t>
  </si>
  <si>
    <t>pc20_fset</t>
  </si>
  <si>
    <t>pc20_hc</t>
  </si>
  <si>
    <t>expression</t>
  </si>
  <si>
    <t>pre_bronch_fev1_fvc</t>
  </si>
  <si>
    <t>post_bronch_fev1_fvc</t>
  </si>
  <si>
    <t>4</t>
  </si>
  <si>
    <t>Predicted Values</t>
  </si>
  <si>
    <t>PEF</t>
  </si>
  <si>
    <t>hc_pred</t>
  </si>
  <si>
    <t>fset_pred</t>
  </si>
  <si>
    <t>Tabs</t>
  </si>
  <si>
    <t>tab_container</t>
  </si>
  <si>
    <t>tc</t>
  </si>
  <si>
    <t>spirometry_tab</t>
  </si>
  <si>
    <t>tab</t>
  </si>
  <si>
    <t>Spirometry</t>
  </si>
  <si>
    <t>other_tab</t>
  </si>
  <si>
    <t>spirometry_date</t>
  </si>
  <si>
    <t>other_measure_date</t>
  </si>
  <si>
    <t>l min&lt;sup&gt;-1&lt;/sup&gt;</t>
  </si>
  <si>
    <t>l min &lt;sup&gt;-1&lt;/sup&gt;</t>
  </si>
  <si>
    <t>Date of spirometry tests</t>
  </si>
  <si>
    <t>Date of other tests</t>
  </si>
  <si>
    <t>pc_pred_pre_bronch_fev1</t>
  </si>
  <si>
    <t>pc_pred_post_bronch_fev1</t>
  </si>
  <si>
    <t>pc_pred_pre_bronch_fvc</t>
  </si>
  <si>
    <t>pc_pred_post_bronch_fvc</t>
  </si>
  <si>
    <t>pc_pred_post_bronch_fev1_fvc</t>
  </si>
  <si>
    <t>best_pef</t>
  </si>
  <si>
    <t>pc_pred_best_pef</t>
  </si>
  <si>
    <t>pred_fvc</t>
  </si>
  <si>
    <t>pred_fev1</t>
  </si>
  <si>
    <t>pred_fev1_fvc</t>
  </si>
  <si>
    <t>pred_pef</t>
  </si>
  <si>
    <t>pc_pred_pre_bronch_fev1_fvc</t>
  </si>
  <si>
    <t>snomed:401012008</t>
  </si>
  <si>
    <t>snomed:401013003</t>
  </si>
  <si>
    <t>snomed:441857000</t>
  </si>
  <si>
    <t>snomed:407561008</t>
  </si>
  <si>
    <t>snomed:407602006</t>
  </si>
  <si>
    <t>snomed:407603001</t>
  </si>
  <si>
    <t>snomed:401163005</t>
  </si>
  <si>
    <t>snomed:252520007</t>
  </si>
  <si>
    <t>snomed:42457008</t>
  </si>
  <si>
    <t>snomed:57566009</t>
  </si>
  <si>
    <t>snomed:251952002</t>
  </si>
  <si>
    <t>snomed:444642008</t>
  </si>
  <si>
    <t>snomed:251936000</t>
  </si>
  <si>
    <t>FEV&lt;sub&gt;1&lt;/sub&gt;</t>
  </si>
  <si>
    <t>FEV&lt;sub&gt;1&lt;/sub&gt;/FVC</t>
  </si>
  <si>
    <t>Pre-bronchodilator FEV&lt;sub&gt;1&lt;/sub&gt;</t>
  </si>
  <si>
    <t>% predicted FEV&lt;sub&gt;1&lt;/sub&gt;</t>
  </si>
  <si>
    <t>Post-bronchodilator FEV&lt;sub&gt;1&lt;/sub&gt;</t>
  </si>
  <si>
    <t>Pre-bronchodilator FEV&lt;sub&gt;1&lt;/sub&gt;/FVC</t>
  </si>
  <si>
    <t>% predicted FEV&lt;sub&gt;1&lt;/sub&gt;/FVC</t>
  </si>
  <si>
    <t>Post-bronchodilator FEV&lt;sub&gt;1&lt;/sub&gt;/FVC</t>
  </si>
  <si>
    <t>% predicted FEV&lt;sub&gt;1&lt;/sub&gt;/ FVC</t>
  </si>
  <si>
    <t>date_of_birth()</t>
  </si>
  <si>
    <t>today()</t>
  </si>
  <si>
    <t>5</t>
  </si>
  <si>
    <t>compress=1,width=98%</t>
  </si>
  <si>
    <t>compress=1,width=48%</t>
  </si>
  <si>
    <t>PC20 and other measures</t>
  </si>
  <si>
    <t>Date of PC&lt;sub&gt;20&lt;/sub&gt;</t>
  </si>
  <si>
    <t>pc20_date</t>
  </si>
  <si>
    <t>Has patient withheld inhalers?</t>
  </si>
  <si>
    <t>patient_wheld_inhalers</t>
  </si>
  <si>
    <t>yes_no</t>
  </si>
  <si>
    <t>checkbox</t>
  </si>
  <si>
    <t>cfactor_90pc</t>
  </si>
  <si>
    <t>Use correction factor (90%)?</t>
  </si>
  <si>
    <t>Bronchodilator reversibility FEV&lt;sub&gt;1&lt;/sub&gt;</t>
  </si>
  <si>
    <t>bronch_rev_fev1_mls</t>
  </si>
  <si>
    <t>mls</t>
  </si>
  <si>
    <t>bronch_rev_fev1_pc</t>
  </si>
  <si>
    <t>fset8</t>
  </si>
  <si>
    <t>hc7b</t>
  </si>
  <si>
    <t>Peak-expiratory flow</t>
  </si>
  <si>
    <t>current_pef</t>
  </si>
  <si>
    <t>% best PEF</t>
  </si>
  <si>
    <t>pc_best_pef</t>
  </si>
  <si>
    <t>expression=(get('current_pef')/get('best_pef')*100),expression_fail_value=NULL,fixed=2</t>
  </si>
  <si>
    <t>Current PEF</t>
  </si>
  <si>
    <t>Best PEF</t>
  </si>
  <si>
    <t>segments=4</t>
  </si>
  <si>
    <t>exno_fset</t>
  </si>
  <si>
    <t>Current exhaled NO</t>
  </si>
  <si>
    <t>Date current</t>
  </si>
  <si>
    <t>hc12</t>
  </si>
  <si>
    <t>Historical highest exhaled NO</t>
  </si>
  <si>
    <t>date_exhaled_no</t>
  </si>
  <si>
    <t>Date highest</t>
  </si>
  <si>
    <t>date_highest_exhaled_no</t>
  </si>
  <si>
    <t>hc20</t>
  </si>
  <si>
    <t>display_text=Predicted FVC</t>
  </si>
  <si>
    <t>display_text=Predicted PEF</t>
  </si>
  <si>
    <t>ajax-func=LungFunction,display_text=Predicted FEV&lt;sub&gt;1&lt;/sub&gt;</t>
  </si>
  <si>
    <t>display_text=Predicted FEV&lt;sub&gt;1&lt;/sub&gt;/FVC</t>
  </si>
  <si>
    <t>display_title=Pre-bronch FEV1</t>
  </si>
  <si>
    <t>expression=get('pre_bronch_fev1')/get('pred_fev1')*100,expression_fail_value=NULL,fixed=2,data_type=number,display_title=Pre-bronch % pred. FEV1</t>
  </si>
  <si>
    <t>display_title=Post-bronch FEV1</t>
  </si>
  <si>
    <t>expression=(get('post_bronch_fev1')/get('pred_fev1')*100),expression_fail_value=NULL,fixed=2,data_type=number,display_title=Post-bronch % pred. FEV1</t>
  </si>
  <si>
    <t>display_title=Pre-bronch % pred. FVC</t>
  </si>
  <si>
    <t>expression=(get('pre_bronch_fvc')/get('pred_fvc')*100),expression_fail_value=NULL,fixed=2,data_type=number,display_title=Post-bronch % pred. FVC</t>
  </si>
  <si>
    <t>display_title=Post-bronch FVC</t>
  </si>
  <si>
    <t>expression=(get('post_bronch_fvc')/get('pred_fvc')*100),expression_fail_value=NULL,fixed=2,data_type=number,display_title=Pre-bronch % pred. FVC</t>
  </si>
  <si>
    <t>expression=(get('pre_bronch_fev1')/get('pre_bronch_fvc')*100)
expression_fail_value=-,fixed=2,data_type=number,display_title=Pre-bronch % pred. FEV1/FVC</t>
  </si>
  <si>
    <t>expression=(get('pre_bronch_fev1_fvc')/get('pred_fev1_fvc')*100),expression_fail_value=NULL,fixed=2,data_type=number,display_title=Post-bronch % pred FEV1/FVC</t>
  </si>
  <si>
    <t>expression=(get('post_bronch_fev1')/get('post_bronch_fvc')*100)
expression_fail_value=-,fixed=2,display_title=Post-bronch FEV1/FVC,data_type=number</t>
  </si>
  <si>
    <t>expression=(get('post_bronch_fev1_fvc')/get('pred_fev1_fvc')*100),expression_fail_value=NULL,fixed=2,display_title=Post-bronch % pred. FEV1/FVC,data_type=number</t>
  </si>
  <si>
    <t>expression=(get('best_pef')/get('pred_pef')*100),expression_fail_value=NULL,fixed=2,data_type=number,display_title=% pred. best PEF</t>
  </si>
  <si>
    <t>expression=(get('post_bronch_fev1')-get('pre_bronch_fev1'))/get('pre_bronch_fev1')*100,expression_fail_value=NULL,fixed=1,data_type=number,display_title=Reversibility FEV1 %</t>
  </si>
  <si>
    <t>expression=(get('post_bronch_fev1')-get('pre_bronch_fev1'))*1000,expression_fail_value=NULL,fixed=1,data_type=number,display_title=Reversibility FEV1 mls</t>
  </si>
  <si>
    <t>date_field=pc20_date</t>
  </si>
  <si>
    <t>display_title=PC20 value,date_field=pc20_date</t>
  </si>
  <si>
    <t>date_field=other_measure_date</t>
  </si>
  <si>
    <t>display_title=Date exhaled NO,date_field=date_exhaled_no</t>
  </si>
  <si>
    <t>display_title=Exhaled NO value,date_field=date_exhaled_no</t>
  </si>
  <si>
    <t>display_title=Date highest exhaled NO,date_field=date_highest_exhaled_no</t>
  </si>
  <si>
    <t>display_title=Highest exhaled NO value,date_field=date_highest_exhaled_no</t>
  </si>
  <si>
    <t>radio_buttons</t>
  </si>
  <si>
    <t>1=Done,2=Failed,3=Not done</t>
  </si>
  <si>
    <t>PC20 status</t>
  </si>
  <si>
    <t>pc20_status</t>
  </si>
  <si>
    <t>Residual volume done</t>
  </si>
  <si>
    <t>res_vol_done</t>
  </si>
  <si>
    <t>KCO done</t>
  </si>
  <si>
    <t>kco_done</t>
  </si>
  <si>
    <t>KCO date</t>
  </si>
  <si>
    <t>kco_date</t>
  </si>
  <si>
    <t>date_field=kco_date</t>
  </si>
  <si>
    <t>condition_test=N,condition_target=fset1;fset3;fset5;fset7,condition_action=hide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</si>
</sst>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  <xf numFmtId="0" fontId="6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topLeftCell="B1" workbookViewId="0">
      <selection activeCell="M13" sqref="M13"/>
    </sheetView>
  </sheetViews>
  <sheetFormatPr defaultColWidth="11" defaultRowHeight="15.75" x14ac:dyDescent="0.25"/>
  <cols>
    <col min="2" max="2" width="41.5" customWidth="1"/>
    <col min="3" max="3" width="26.875" customWidth="1"/>
    <col min="7" max="7" width="3.625" style="7" customWidth="1"/>
    <col min="8" max="8" width="13.875" customWidth="1"/>
    <col min="9" max="9" width="7.5" customWidth="1"/>
    <col min="10" max="10" width="4" customWidth="1"/>
    <col min="11" max="11" width="7" customWidth="1"/>
    <col min="13" max="13" width="78.875" style="11" customWidth="1"/>
  </cols>
  <sheetData>
    <row r="1" spans="1:14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5" t="s">
        <v>22</v>
      </c>
      <c r="H1" s="4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4" t="s">
        <v>28</v>
      </c>
      <c r="N1" s="3" t="s">
        <v>63</v>
      </c>
    </row>
    <row r="2" spans="1:14" s="3" customFormat="1" x14ac:dyDescent="0.25">
      <c r="A2" s="3">
        <v>1</v>
      </c>
      <c r="B2" s="3" t="s">
        <v>76</v>
      </c>
      <c r="C2" s="3" t="s">
        <v>78</v>
      </c>
      <c r="D2" s="3" t="s">
        <v>77</v>
      </c>
      <c r="G2" s="5"/>
      <c r="H2" s="4"/>
      <c r="M2" s="4"/>
    </row>
    <row r="3" spans="1:14" s="3" customFormat="1" x14ac:dyDescent="0.25">
      <c r="A3" s="3">
        <v>2</v>
      </c>
      <c r="B3" s="3" t="s">
        <v>81</v>
      </c>
      <c r="C3" s="3" t="s">
        <v>79</v>
      </c>
      <c r="D3" s="3" t="s">
        <v>80</v>
      </c>
      <c r="G3" s="5"/>
      <c r="H3" s="4"/>
      <c r="M3" s="4"/>
    </row>
    <row r="4" spans="1:14" s="3" customFormat="1" x14ac:dyDescent="0.25">
      <c r="A4" s="3">
        <v>3</v>
      </c>
      <c r="B4" s="3" t="s">
        <v>87</v>
      </c>
      <c r="C4" s="3" t="s">
        <v>83</v>
      </c>
      <c r="D4" s="3" t="s">
        <v>65</v>
      </c>
      <c r="G4" s="5"/>
      <c r="H4" s="4"/>
      <c r="I4" s="3" t="s">
        <v>123</v>
      </c>
      <c r="J4" s="3" t="s">
        <v>124</v>
      </c>
      <c r="L4" s="3" t="s">
        <v>53</v>
      </c>
      <c r="M4" s="4"/>
    </row>
    <row r="5" spans="1:14" s="3" customFormat="1" x14ac:dyDescent="0.25">
      <c r="A5" s="3">
        <v>3</v>
      </c>
      <c r="B5" s="3" t="s">
        <v>72</v>
      </c>
      <c r="C5" s="3" t="s">
        <v>75</v>
      </c>
      <c r="D5" s="3" t="s">
        <v>33</v>
      </c>
      <c r="G5" s="5"/>
      <c r="H5" s="4"/>
      <c r="M5" s="4" t="s">
        <v>126</v>
      </c>
    </row>
    <row r="6" spans="1:14" s="3" customFormat="1" x14ac:dyDescent="0.25">
      <c r="A6" s="3">
        <v>4</v>
      </c>
      <c r="C6" s="3" t="s">
        <v>74</v>
      </c>
      <c r="D6" s="3" t="s">
        <v>43</v>
      </c>
      <c r="G6" s="5"/>
      <c r="H6" s="4"/>
      <c r="M6" s="4"/>
    </row>
    <row r="7" spans="1:14" s="1" customFormat="1" x14ac:dyDescent="0.25">
      <c r="A7" s="1">
        <v>5</v>
      </c>
      <c r="B7" s="1" t="s">
        <v>114</v>
      </c>
      <c r="C7" s="1" t="s">
        <v>97</v>
      </c>
      <c r="D7" s="1" t="s">
        <v>68</v>
      </c>
      <c r="F7" s="1" t="s">
        <v>1</v>
      </c>
      <c r="G7" s="6" t="s">
        <v>71</v>
      </c>
      <c r="H7" s="2"/>
      <c r="L7" s="3"/>
      <c r="M7" s="2" t="s">
        <v>162</v>
      </c>
    </row>
    <row r="8" spans="1:14" s="1" customFormat="1" x14ac:dyDescent="0.25">
      <c r="A8" s="1">
        <v>5</v>
      </c>
      <c r="B8" s="1" t="s">
        <v>39</v>
      </c>
      <c r="C8" s="1" t="s">
        <v>96</v>
      </c>
      <c r="D8" s="1" t="s">
        <v>68</v>
      </c>
      <c r="F8" s="1" t="s">
        <v>1</v>
      </c>
      <c r="G8" s="6" t="s">
        <v>71</v>
      </c>
      <c r="H8" s="2"/>
      <c r="L8" s="3"/>
      <c r="M8" s="2" t="s">
        <v>160</v>
      </c>
    </row>
    <row r="9" spans="1:14" s="1" customFormat="1" x14ac:dyDescent="0.25">
      <c r="A9" s="1">
        <v>5</v>
      </c>
      <c r="B9" s="1" t="s">
        <v>115</v>
      </c>
      <c r="C9" s="1" t="s">
        <v>98</v>
      </c>
      <c r="D9" s="1" t="s">
        <v>68</v>
      </c>
      <c r="F9" s="1" t="s">
        <v>1</v>
      </c>
      <c r="G9" s="6" t="s">
        <v>71</v>
      </c>
      <c r="H9" s="2"/>
      <c r="L9" s="3"/>
      <c r="M9" s="2" t="s">
        <v>163</v>
      </c>
    </row>
    <row r="10" spans="1:14" s="1" customFormat="1" x14ac:dyDescent="0.25">
      <c r="A10" s="1">
        <v>5</v>
      </c>
      <c r="B10" s="1" t="s">
        <v>73</v>
      </c>
      <c r="C10" s="1" t="s">
        <v>99</v>
      </c>
      <c r="D10" s="1" t="s">
        <v>68</v>
      </c>
      <c r="F10" s="1" t="s">
        <v>86</v>
      </c>
      <c r="G10" s="6" t="s">
        <v>125</v>
      </c>
      <c r="H10" s="2"/>
      <c r="L10" s="3"/>
      <c r="M10" s="2" t="s">
        <v>161</v>
      </c>
    </row>
    <row r="11" spans="1:14" s="3" customFormat="1" x14ac:dyDescent="0.25">
      <c r="A11" s="3">
        <v>5</v>
      </c>
      <c r="B11" s="3" t="s">
        <v>136</v>
      </c>
      <c r="C11" s="3" t="s">
        <v>135</v>
      </c>
      <c r="D11" s="3" t="s">
        <v>134</v>
      </c>
      <c r="G11" s="5"/>
      <c r="H11" s="4"/>
      <c r="M11" s="4"/>
    </row>
    <row r="12" spans="1:14" s="1" customFormat="1" x14ac:dyDescent="0.25">
      <c r="A12" s="1">
        <v>3</v>
      </c>
      <c r="B12" s="1" t="s">
        <v>131</v>
      </c>
      <c r="C12" s="1" t="s">
        <v>132</v>
      </c>
      <c r="D12" s="1" t="s">
        <v>133</v>
      </c>
      <c r="G12" s="6"/>
      <c r="H12" s="2"/>
      <c r="L12" s="3"/>
      <c r="M12" s="2" t="s">
        <v>197</v>
      </c>
    </row>
    <row r="13" spans="1:14" s="3" customFormat="1" x14ac:dyDescent="0.25">
      <c r="A13" s="3">
        <v>3</v>
      </c>
      <c r="C13" s="3" t="s">
        <v>51</v>
      </c>
      <c r="D13" s="3" t="s">
        <v>43</v>
      </c>
      <c r="G13" s="5"/>
      <c r="H13" s="4"/>
      <c r="M13" s="4"/>
    </row>
    <row r="14" spans="1:14" s="3" customFormat="1" x14ac:dyDescent="0.25">
      <c r="A14" s="3">
        <v>4</v>
      </c>
      <c r="B14" s="3" t="s">
        <v>116</v>
      </c>
      <c r="C14" s="3" t="s">
        <v>36</v>
      </c>
      <c r="D14" s="3" t="s">
        <v>33</v>
      </c>
      <c r="G14" s="5"/>
      <c r="H14" s="4"/>
      <c r="M14" s="4" t="s">
        <v>127</v>
      </c>
    </row>
    <row r="15" spans="1:14" s="1" customFormat="1" x14ac:dyDescent="0.25">
      <c r="A15" s="1">
        <v>5</v>
      </c>
      <c r="C15" s="1" t="s">
        <v>42</v>
      </c>
      <c r="D15" s="1" t="s">
        <v>43</v>
      </c>
      <c r="G15" s="6"/>
      <c r="H15" s="2"/>
      <c r="L15" s="3"/>
      <c r="M15" s="2"/>
    </row>
    <row r="16" spans="1:14" s="1" customFormat="1" x14ac:dyDescent="0.25">
      <c r="A16" s="1">
        <v>6</v>
      </c>
      <c r="B16" s="1" t="s">
        <v>114</v>
      </c>
      <c r="C16" s="1" t="s">
        <v>29</v>
      </c>
      <c r="D16" s="1" t="s">
        <v>0</v>
      </c>
      <c r="F16" s="1" t="s">
        <v>1</v>
      </c>
      <c r="G16" s="6" t="s">
        <v>71</v>
      </c>
      <c r="H16" s="2"/>
      <c r="L16" s="3" t="s">
        <v>53</v>
      </c>
      <c r="M16" s="2" t="s">
        <v>164</v>
      </c>
      <c r="N16" s="1" t="s">
        <v>101</v>
      </c>
    </row>
    <row r="17" spans="1:14" s="1" customFormat="1" ht="31.5" x14ac:dyDescent="0.25">
      <c r="A17" s="1">
        <v>6</v>
      </c>
      <c r="B17" s="1" t="s">
        <v>117</v>
      </c>
      <c r="C17" s="1" t="s">
        <v>89</v>
      </c>
      <c r="D17" s="1" t="s">
        <v>68</v>
      </c>
      <c r="F17" s="1" t="s">
        <v>6</v>
      </c>
      <c r="G17" s="6" t="s">
        <v>71</v>
      </c>
      <c r="H17" s="2"/>
      <c r="L17" s="3"/>
      <c r="M17" s="2" t="s">
        <v>165</v>
      </c>
    </row>
    <row r="18" spans="1:14" s="1" customFormat="1" x14ac:dyDescent="0.25">
      <c r="A18" s="1">
        <v>4</v>
      </c>
      <c r="B18" s="1" t="s">
        <v>118</v>
      </c>
      <c r="C18" s="1" t="s">
        <v>37</v>
      </c>
      <c r="D18" s="1" t="s">
        <v>33</v>
      </c>
      <c r="G18" s="5"/>
      <c r="H18" s="2"/>
      <c r="L18" s="3"/>
      <c r="M18" s="4" t="s">
        <v>127</v>
      </c>
    </row>
    <row r="19" spans="1:14" s="1" customFormat="1" x14ac:dyDescent="0.25">
      <c r="A19" s="1">
        <v>5</v>
      </c>
      <c r="C19" s="1" t="s">
        <v>44</v>
      </c>
      <c r="D19" s="1" t="s">
        <v>43</v>
      </c>
      <c r="G19" s="6"/>
      <c r="H19" s="2"/>
      <c r="L19" s="3"/>
      <c r="M19" s="2"/>
    </row>
    <row r="20" spans="1:14" s="1" customFormat="1" x14ac:dyDescent="0.25">
      <c r="A20" s="1">
        <v>6</v>
      </c>
      <c r="B20" s="1" t="s">
        <v>114</v>
      </c>
      <c r="C20" s="1" t="s">
        <v>30</v>
      </c>
      <c r="D20" s="1" t="s">
        <v>0</v>
      </c>
      <c r="F20" s="1" t="s">
        <v>1</v>
      </c>
      <c r="G20" s="6" t="s">
        <v>71</v>
      </c>
      <c r="H20" s="2"/>
      <c r="L20" s="3" t="s">
        <v>53</v>
      </c>
      <c r="M20" s="2" t="s">
        <v>166</v>
      </c>
      <c r="N20" s="1" t="s">
        <v>102</v>
      </c>
    </row>
    <row r="21" spans="1:14" s="1" customFormat="1" ht="31.5" x14ac:dyDescent="0.25">
      <c r="A21" s="1">
        <v>6</v>
      </c>
      <c r="B21" s="1" t="s">
        <v>117</v>
      </c>
      <c r="C21" s="1" t="s">
        <v>90</v>
      </c>
      <c r="D21" s="1" t="s">
        <v>68</v>
      </c>
      <c r="F21" s="1" t="s">
        <v>6</v>
      </c>
      <c r="G21" s="6" t="s">
        <v>71</v>
      </c>
      <c r="H21" s="2"/>
      <c r="L21" s="3"/>
      <c r="M21" s="9" t="s">
        <v>167</v>
      </c>
    </row>
    <row r="22" spans="1:14" s="1" customFormat="1" x14ac:dyDescent="0.25">
      <c r="A22" s="1">
        <v>3</v>
      </c>
      <c r="C22" s="1" t="s">
        <v>45</v>
      </c>
      <c r="D22" s="1" t="s">
        <v>43</v>
      </c>
      <c r="G22" s="6"/>
      <c r="H22" s="2"/>
      <c r="L22" s="3"/>
      <c r="M22" s="2"/>
    </row>
    <row r="23" spans="1:14" s="1" customFormat="1" x14ac:dyDescent="0.25">
      <c r="A23" s="1">
        <v>4</v>
      </c>
      <c r="B23" s="1" t="s">
        <v>2</v>
      </c>
      <c r="C23" s="1" t="s">
        <v>38</v>
      </c>
      <c r="D23" s="1" t="s">
        <v>33</v>
      </c>
      <c r="G23" s="5"/>
      <c r="H23" s="2"/>
      <c r="L23" s="3"/>
      <c r="M23" s="4" t="s">
        <v>127</v>
      </c>
    </row>
    <row r="24" spans="1:14" s="1" customFormat="1" x14ac:dyDescent="0.25">
      <c r="A24" s="1">
        <v>5</v>
      </c>
      <c r="C24" s="1" t="s">
        <v>46</v>
      </c>
      <c r="D24" s="1" t="s">
        <v>43</v>
      </c>
      <c r="G24" s="6"/>
      <c r="H24" s="2"/>
      <c r="L24" s="3"/>
      <c r="M24" s="2"/>
    </row>
    <row r="25" spans="1:14" s="1" customFormat="1" x14ac:dyDescent="0.25">
      <c r="A25" s="1">
        <v>6</v>
      </c>
      <c r="B25" s="1" t="s">
        <v>39</v>
      </c>
      <c r="C25" s="1" t="s">
        <v>31</v>
      </c>
      <c r="D25" s="1" t="s">
        <v>0</v>
      </c>
      <c r="F25" s="1" t="s">
        <v>1</v>
      </c>
      <c r="G25" s="6" t="s">
        <v>71</v>
      </c>
      <c r="H25" s="2"/>
      <c r="L25" s="3" t="s">
        <v>53</v>
      </c>
      <c r="M25" s="2" t="s">
        <v>168</v>
      </c>
      <c r="N25" s="1" t="s">
        <v>103</v>
      </c>
    </row>
    <row r="26" spans="1:14" s="1" customFormat="1" ht="31.5" x14ac:dyDescent="0.25">
      <c r="A26" s="1">
        <v>6</v>
      </c>
      <c r="B26" s="1" t="s">
        <v>40</v>
      </c>
      <c r="C26" s="1" t="s">
        <v>91</v>
      </c>
      <c r="D26" s="1" t="s">
        <v>68</v>
      </c>
      <c r="F26" s="1" t="s">
        <v>6</v>
      </c>
      <c r="G26" s="6" t="s">
        <v>71</v>
      </c>
      <c r="H26" s="2"/>
      <c r="L26" s="3"/>
      <c r="M26" s="2" t="s">
        <v>169</v>
      </c>
    </row>
    <row r="27" spans="1:14" s="1" customFormat="1" x14ac:dyDescent="0.25">
      <c r="A27" s="1">
        <v>4</v>
      </c>
      <c r="B27" s="1" t="s">
        <v>3</v>
      </c>
      <c r="C27" s="1" t="s">
        <v>41</v>
      </c>
      <c r="D27" s="1" t="s">
        <v>33</v>
      </c>
      <c r="G27" s="5"/>
      <c r="H27" s="2"/>
      <c r="L27" s="3"/>
      <c r="M27" s="4" t="s">
        <v>127</v>
      </c>
    </row>
    <row r="28" spans="1:14" s="1" customFormat="1" x14ac:dyDescent="0.25">
      <c r="A28" s="1">
        <v>5</v>
      </c>
      <c r="C28" s="1" t="s">
        <v>48</v>
      </c>
      <c r="D28" s="1" t="s">
        <v>43</v>
      </c>
      <c r="G28" s="6"/>
      <c r="H28" s="2"/>
      <c r="L28" s="3"/>
      <c r="M28" s="2"/>
    </row>
    <row r="29" spans="1:14" s="1" customFormat="1" x14ac:dyDescent="0.25">
      <c r="A29" s="1">
        <v>6</v>
      </c>
      <c r="B29" s="1" t="s">
        <v>39</v>
      </c>
      <c r="C29" s="1" t="s">
        <v>32</v>
      </c>
      <c r="D29" s="1" t="s">
        <v>0</v>
      </c>
      <c r="F29" s="1" t="s">
        <v>1</v>
      </c>
      <c r="G29" s="6" t="s">
        <v>71</v>
      </c>
      <c r="H29" s="2"/>
      <c r="L29" s="3" t="s">
        <v>53</v>
      </c>
      <c r="M29" s="2" t="s">
        <v>170</v>
      </c>
      <c r="N29" s="1" t="s">
        <v>104</v>
      </c>
    </row>
    <row r="30" spans="1:14" s="1" customFormat="1" ht="31.5" x14ac:dyDescent="0.25">
      <c r="A30" s="1">
        <v>6</v>
      </c>
      <c r="B30" s="1" t="s">
        <v>40</v>
      </c>
      <c r="C30" s="1" t="s">
        <v>92</v>
      </c>
      <c r="D30" s="1" t="s">
        <v>68</v>
      </c>
      <c r="F30" s="1" t="s">
        <v>6</v>
      </c>
      <c r="G30" s="6" t="s">
        <v>71</v>
      </c>
      <c r="H30" s="2"/>
      <c r="L30" s="3"/>
      <c r="M30" s="2" t="s">
        <v>171</v>
      </c>
    </row>
    <row r="31" spans="1:14" s="1" customFormat="1" x14ac:dyDescent="0.25">
      <c r="A31" s="1">
        <v>3</v>
      </c>
      <c r="C31" s="1" t="s">
        <v>159</v>
      </c>
      <c r="D31" s="1" t="s">
        <v>43</v>
      </c>
      <c r="G31" s="6"/>
      <c r="H31" s="2"/>
      <c r="L31" s="3"/>
      <c r="M31" s="2"/>
    </row>
    <row r="32" spans="1:14" s="1" customFormat="1" x14ac:dyDescent="0.25">
      <c r="A32" s="1">
        <v>4</v>
      </c>
      <c r="B32" s="1" t="s">
        <v>119</v>
      </c>
      <c r="C32" s="1" t="s">
        <v>47</v>
      </c>
      <c r="D32" s="1" t="s">
        <v>33</v>
      </c>
      <c r="G32" s="5"/>
      <c r="H32" s="2"/>
      <c r="L32" s="3"/>
      <c r="M32" s="4" t="s">
        <v>127</v>
      </c>
    </row>
    <row r="33" spans="1:14" s="1" customFormat="1" x14ac:dyDescent="0.25">
      <c r="A33" s="1">
        <v>5</v>
      </c>
      <c r="C33" s="1" t="s">
        <v>52</v>
      </c>
      <c r="D33" s="1" t="s">
        <v>43</v>
      </c>
      <c r="G33" s="6"/>
      <c r="H33" s="2"/>
      <c r="L33" s="3"/>
      <c r="M33" s="2"/>
    </row>
    <row r="34" spans="1:14" s="1" customFormat="1" ht="47.25" x14ac:dyDescent="0.25">
      <c r="A34" s="1">
        <v>6</v>
      </c>
      <c r="B34" s="1" t="s">
        <v>115</v>
      </c>
      <c r="C34" s="1" t="s">
        <v>69</v>
      </c>
      <c r="D34" s="1" t="s">
        <v>68</v>
      </c>
      <c r="F34" s="1" t="s">
        <v>1</v>
      </c>
      <c r="G34" s="6" t="s">
        <v>71</v>
      </c>
      <c r="H34" s="2"/>
      <c r="L34" s="3"/>
      <c r="M34" s="2" t="s">
        <v>172</v>
      </c>
      <c r="N34" s="1" t="s">
        <v>105</v>
      </c>
    </row>
    <row r="35" spans="1:14" s="1" customFormat="1" ht="31.5" x14ac:dyDescent="0.25">
      <c r="A35" s="1">
        <v>6</v>
      </c>
      <c r="B35" s="1" t="s">
        <v>120</v>
      </c>
      <c r="C35" s="1" t="s">
        <v>100</v>
      </c>
      <c r="D35" s="1" t="s">
        <v>68</v>
      </c>
      <c r="F35" s="1" t="s">
        <v>6</v>
      </c>
      <c r="G35" s="6" t="s">
        <v>125</v>
      </c>
      <c r="H35" s="2"/>
      <c r="L35" s="3"/>
      <c r="M35" s="2" t="s">
        <v>173</v>
      </c>
    </row>
    <row r="36" spans="1:14" s="1" customFormat="1" x14ac:dyDescent="0.25">
      <c r="A36" s="1">
        <v>4</v>
      </c>
      <c r="B36" s="1" t="s">
        <v>121</v>
      </c>
      <c r="C36" s="1" t="s">
        <v>59</v>
      </c>
      <c r="D36" s="1" t="s">
        <v>33</v>
      </c>
      <c r="G36" s="5"/>
      <c r="H36" s="2"/>
      <c r="L36" s="3"/>
      <c r="M36" s="4" t="s">
        <v>127</v>
      </c>
    </row>
    <row r="37" spans="1:14" s="1" customFormat="1" x14ac:dyDescent="0.25">
      <c r="A37" s="1">
        <v>5</v>
      </c>
      <c r="C37" s="1" t="s">
        <v>55</v>
      </c>
      <c r="D37" s="1" t="s">
        <v>43</v>
      </c>
      <c r="G37" s="6"/>
      <c r="H37" s="2"/>
      <c r="L37" s="3"/>
      <c r="M37" s="2"/>
    </row>
    <row r="38" spans="1:14" s="1" customFormat="1" ht="31.5" x14ac:dyDescent="0.25">
      <c r="A38" s="1">
        <v>6</v>
      </c>
      <c r="B38" s="1" t="s">
        <v>115</v>
      </c>
      <c r="C38" s="1" t="s">
        <v>70</v>
      </c>
      <c r="D38" s="1" t="s">
        <v>68</v>
      </c>
      <c r="F38" s="1" t="s">
        <v>1</v>
      </c>
      <c r="G38" s="6" t="s">
        <v>71</v>
      </c>
      <c r="H38" s="2"/>
      <c r="L38" s="3"/>
      <c r="M38" s="2" t="s">
        <v>174</v>
      </c>
      <c r="N38" s="1" t="s">
        <v>106</v>
      </c>
    </row>
    <row r="39" spans="1:14" s="1" customFormat="1" ht="21" customHeight="1" x14ac:dyDescent="0.25">
      <c r="A39" s="1">
        <v>6</v>
      </c>
      <c r="B39" s="1" t="s">
        <v>122</v>
      </c>
      <c r="C39" s="1" t="s">
        <v>93</v>
      </c>
      <c r="D39" s="1" t="s">
        <v>68</v>
      </c>
      <c r="F39" s="1" t="s">
        <v>6</v>
      </c>
      <c r="G39" s="6" t="s">
        <v>125</v>
      </c>
      <c r="H39" s="2"/>
      <c r="L39" s="3"/>
      <c r="M39" s="2" t="s">
        <v>175</v>
      </c>
    </row>
    <row r="40" spans="1:14" s="1" customFormat="1" x14ac:dyDescent="0.25">
      <c r="A40" s="1">
        <v>3</v>
      </c>
      <c r="B40" s="1" t="s">
        <v>137</v>
      </c>
      <c r="C40" s="1" t="s">
        <v>60</v>
      </c>
      <c r="D40" s="1" t="s">
        <v>33</v>
      </c>
      <c r="G40" s="6"/>
      <c r="H40" s="2"/>
      <c r="L40" s="3"/>
      <c r="M40" s="10" t="s">
        <v>54</v>
      </c>
    </row>
    <row r="41" spans="1:14" s="1" customFormat="1" x14ac:dyDescent="0.25">
      <c r="A41" s="1">
        <v>4</v>
      </c>
      <c r="C41" s="1" t="s">
        <v>142</v>
      </c>
      <c r="D41" s="1" t="s">
        <v>43</v>
      </c>
      <c r="G41" s="6"/>
      <c r="H41" s="2"/>
      <c r="L41" s="3"/>
      <c r="M41" s="2"/>
    </row>
    <row r="42" spans="1:14" s="1" customFormat="1" ht="47.25" x14ac:dyDescent="0.25">
      <c r="A42" s="1">
        <v>5</v>
      </c>
      <c r="C42" s="1" t="s">
        <v>140</v>
      </c>
      <c r="D42" s="1" t="s">
        <v>68</v>
      </c>
      <c r="F42" s="1" t="s">
        <v>6</v>
      </c>
      <c r="G42" s="6" t="s">
        <v>71</v>
      </c>
      <c r="H42" s="2"/>
      <c r="L42" s="3"/>
      <c r="M42" s="2" t="s">
        <v>177</v>
      </c>
    </row>
    <row r="43" spans="1:14" s="1" customFormat="1" ht="47.25" x14ac:dyDescent="0.25">
      <c r="A43" s="1">
        <v>5</v>
      </c>
      <c r="C43" s="1" t="s">
        <v>138</v>
      </c>
      <c r="D43" s="1" t="s">
        <v>68</v>
      </c>
      <c r="F43" s="1" t="s">
        <v>139</v>
      </c>
      <c r="G43" s="6" t="s">
        <v>71</v>
      </c>
      <c r="H43" s="2"/>
      <c r="L43" s="3"/>
      <c r="M43" s="2" t="s">
        <v>178</v>
      </c>
    </row>
    <row r="44" spans="1:14" s="1" customFormat="1" x14ac:dyDescent="0.25">
      <c r="A44" s="1">
        <v>3</v>
      </c>
      <c r="B44" s="1" t="s">
        <v>143</v>
      </c>
      <c r="C44" s="1" t="s">
        <v>141</v>
      </c>
      <c r="D44" s="1" t="s">
        <v>33</v>
      </c>
      <c r="G44" s="6"/>
      <c r="H44" s="2"/>
      <c r="L44" s="3"/>
      <c r="M44" s="10" t="s">
        <v>54</v>
      </c>
    </row>
    <row r="45" spans="1:14" s="1" customFormat="1" x14ac:dyDescent="0.25">
      <c r="A45" s="1">
        <v>4</v>
      </c>
      <c r="C45" s="1" t="s">
        <v>56</v>
      </c>
      <c r="D45" s="1" t="s">
        <v>43</v>
      </c>
      <c r="G45" s="6"/>
      <c r="H45" s="2"/>
      <c r="L45" s="3"/>
      <c r="M45" s="2" t="s">
        <v>150</v>
      </c>
    </row>
    <row r="46" spans="1:14" s="1" customFormat="1" x14ac:dyDescent="0.25">
      <c r="A46" s="1">
        <v>5</v>
      </c>
      <c r="B46" s="1" t="s">
        <v>149</v>
      </c>
      <c r="C46" s="1" t="s">
        <v>94</v>
      </c>
      <c r="D46" s="1" t="s">
        <v>0</v>
      </c>
      <c r="F46" s="1" t="s">
        <v>85</v>
      </c>
      <c r="G46" s="6"/>
      <c r="H46" s="2"/>
      <c r="L46" s="3" t="s">
        <v>53</v>
      </c>
      <c r="M46" s="2"/>
      <c r="N46" s="1" t="s">
        <v>113</v>
      </c>
    </row>
    <row r="47" spans="1:14" s="1" customFormat="1" ht="31.5" x14ac:dyDescent="0.25">
      <c r="A47" s="1">
        <v>5</v>
      </c>
      <c r="B47" s="1" t="s">
        <v>49</v>
      </c>
      <c r="C47" s="1" t="s">
        <v>95</v>
      </c>
      <c r="D47" s="1" t="s">
        <v>68</v>
      </c>
      <c r="G47" s="6" t="s">
        <v>125</v>
      </c>
      <c r="H47" s="2"/>
      <c r="L47" s="3"/>
      <c r="M47" s="9" t="s">
        <v>176</v>
      </c>
      <c r="N47" s="1" t="s">
        <v>107</v>
      </c>
    </row>
    <row r="48" spans="1:14" s="1" customFormat="1" x14ac:dyDescent="0.25">
      <c r="A48" s="1">
        <v>5</v>
      </c>
      <c r="B48" s="1" t="s">
        <v>148</v>
      </c>
      <c r="C48" s="1" t="s">
        <v>144</v>
      </c>
      <c r="D48" s="1" t="s">
        <v>0</v>
      </c>
      <c r="F48" s="1" t="s">
        <v>85</v>
      </c>
      <c r="G48" s="6"/>
      <c r="H48" s="2"/>
      <c r="L48" s="3" t="s">
        <v>53</v>
      </c>
      <c r="M48" s="2"/>
    </row>
    <row r="49" spans="1:14" s="1" customFormat="1" x14ac:dyDescent="0.25">
      <c r="A49" s="1">
        <v>5</v>
      </c>
      <c r="B49" s="1" t="s">
        <v>145</v>
      </c>
      <c r="C49" s="1" t="s">
        <v>146</v>
      </c>
      <c r="D49" s="1" t="s">
        <v>68</v>
      </c>
      <c r="G49" s="6" t="s">
        <v>125</v>
      </c>
      <c r="H49" s="2"/>
      <c r="L49" s="3"/>
      <c r="M49" s="9" t="s">
        <v>147</v>
      </c>
    </row>
    <row r="50" spans="1:14" s="1" customFormat="1" x14ac:dyDescent="0.25">
      <c r="A50" s="1">
        <v>2</v>
      </c>
      <c r="B50" s="1" t="s">
        <v>128</v>
      </c>
      <c r="C50" s="1" t="s">
        <v>82</v>
      </c>
      <c r="D50" s="1" t="s">
        <v>80</v>
      </c>
      <c r="G50" s="6" t="s">
        <v>71</v>
      </c>
      <c r="H50" s="2"/>
      <c r="I50" s="8"/>
      <c r="J50" s="8"/>
      <c r="L50" s="3"/>
      <c r="M50" s="9"/>
    </row>
    <row r="51" spans="1:14" s="1" customFormat="1" x14ac:dyDescent="0.25">
      <c r="A51" s="1">
        <v>3</v>
      </c>
      <c r="B51" s="1" t="s">
        <v>64</v>
      </c>
      <c r="C51" s="1" t="s">
        <v>66</v>
      </c>
      <c r="D51" s="1" t="s">
        <v>33</v>
      </c>
      <c r="G51" s="6"/>
      <c r="H51" s="2"/>
      <c r="L51" s="3"/>
      <c r="M51" s="2" t="s">
        <v>127</v>
      </c>
    </row>
    <row r="52" spans="1:14" s="1" customFormat="1" x14ac:dyDescent="0.25">
      <c r="A52" s="1">
        <v>4</v>
      </c>
      <c r="C52" s="1" t="s">
        <v>67</v>
      </c>
      <c r="D52" s="1" t="s">
        <v>43</v>
      </c>
      <c r="G52" s="6"/>
      <c r="H52" s="2"/>
      <c r="L52" s="3"/>
      <c r="M52" s="2"/>
    </row>
    <row r="53" spans="1:14" s="1" customFormat="1" ht="31.5" x14ac:dyDescent="0.25">
      <c r="A53" s="1">
        <v>5</v>
      </c>
      <c r="B53" s="1" t="s">
        <v>188</v>
      </c>
      <c r="C53" s="1" t="s">
        <v>189</v>
      </c>
      <c r="D53" s="1" t="s">
        <v>186</v>
      </c>
      <c r="G53" s="6"/>
      <c r="H53" s="2" t="s">
        <v>187</v>
      </c>
      <c r="L53" s="3"/>
      <c r="M53" s="2" t="s">
        <v>179</v>
      </c>
    </row>
    <row r="54" spans="1:14" s="1" customFormat="1" x14ac:dyDescent="0.25">
      <c r="A54" s="1">
        <v>5</v>
      </c>
      <c r="B54" s="1" t="s">
        <v>129</v>
      </c>
      <c r="C54" s="1" t="s">
        <v>130</v>
      </c>
      <c r="D54" s="1" t="s">
        <v>65</v>
      </c>
      <c r="G54" s="6"/>
      <c r="H54" s="2"/>
      <c r="I54" s="8" t="s">
        <v>123</v>
      </c>
      <c r="J54" s="8" t="s">
        <v>124</v>
      </c>
      <c r="L54" s="3"/>
      <c r="M54" s="2" t="s">
        <v>179</v>
      </c>
    </row>
    <row r="55" spans="1:14" s="1" customFormat="1" x14ac:dyDescent="0.25">
      <c r="A55" s="1">
        <v>5</v>
      </c>
      <c r="B55" s="1" t="s">
        <v>50</v>
      </c>
      <c r="C55" s="1" t="s">
        <v>11</v>
      </c>
      <c r="D55" s="1" t="s">
        <v>0</v>
      </c>
      <c r="G55" s="6" t="s">
        <v>71</v>
      </c>
      <c r="H55" s="2"/>
      <c r="L55" s="3"/>
      <c r="M55" s="2" t="s">
        <v>180</v>
      </c>
      <c r="N55" s="1" t="s">
        <v>108</v>
      </c>
    </row>
    <row r="56" spans="1:14" s="1" customFormat="1" x14ac:dyDescent="0.25">
      <c r="A56" s="1">
        <v>3</v>
      </c>
      <c r="B56" s="1" t="s">
        <v>34</v>
      </c>
      <c r="C56" s="1" t="s">
        <v>35</v>
      </c>
      <c r="D56" s="1" t="s">
        <v>33</v>
      </c>
      <c r="G56" s="6"/>
      <c r="H56" s="2"/>
      <c r="L56" s="3"/>
      <c r="M56" s="4" t="s">
        <v>54</v>
      </c>
    </row>
    <row r="57" spans="1:14" s="3" customFormat="1" x14ac:dyDescent="0.25">
      <c r="A57" s="3">
        <v>4</v>
      </c>
      <c r="B57" s="3" t="s">
        <v>88</v>
      </c>
      <c r="C57" s="3" t="s">
        <v>84</v>
      </c>
      <c r="D57" s="3" t="s">
        <v>65</v>
      </c>
      <c r="G57" s="5"/>
      <c r="H57" s="4"/>
      <c r="I57" s="3" t="s">
        <v>123</v>
      </c>
      <c r="J57" s="3" t="s">
        <v>124</v>
      </c>
      <c r="M57" s="4" t="s">
        <v>181</v>
      </c>
    </row>
    <row r="58" spans="1:14" s="1" customFormat="1" x14ac:dyDescent="0.25">
      <c r="A58" s="1">
        <v>4</v>
      </c>
      <c r="C58" s="1" t="s">
        <v>57</v>
      </c>
      <c r="D58" s="1" t="s">
        <v>43</v>
      </c>
      <c r="G58" s="6"/>
      <c r="H58" s="2"/>
      <c r="L58" s="3"/>
      <c r="M58" s="4"/>
    </row>
    <row r="59" spans="1:14" s="1" customFormat="1" x14ac:dyDescent="0.25">
      <c r="A59" s="1">
        <v>5</v>
      </c>
      <c r="B59" s="1" t="s">
        <v>190</v>
      </c>
      <c r="C59" s="1" t="s">
        <v>191</v>
      </c>
      <c r="D59" s="1" t="s">
        <v>133</v>
      </c>
      <c r="G59" s="6"/>
      <c r="H59" s="2"/>
      <c r="L59" s="3"/>
      <c r="M59" s="2" t="s">
        <v>181</v>
      </c>
    </row>
    <row r="60" spans="1:14" s="1" customFormat="1" x14ac:dyDescent="0.25">
      <c r="A60" s="1">
        <v>5</v>
      </c>
      <c r="B60" s="1" t="s">
        <v>4</v>
      </c>
      <c r="C60" s="1" t="s">
        <v>5</v>
      </c>
      <c r="D60" s="1" t="s">
        <v>0</v>
      </c>
      <c r="F60" s="1" t="s">
        <v>58</v>
      </c>
      <c r="G60" s="6">
        <v>3</v>
      </c>
      <c r="H60" s="2"/>
      <c r="L60" s="3"/>
      <c r="M60" s="2" t="s">
        <v>181</v>
      </c>
      <c r="N60" s="1" t="s">
        <v>109</v>
      </c>
    </row>
    <row r="61" spans="1:14" s="1" customFormat="1" x14ac:dyDescent="0.25">
      <c r="A61" s="1">
        <v>5</v>
      </c>
      <c r="B61" s="1" t="s">
        <v>7</v>
      </c>
      <c r="C61" s="1" t="s">
        <v>8</v>
      </c>
      <c r="D61" s="1" t="s">
        <v>0</v>
      </c>
      <c r="F61" s="1" t="s">
        <v>58</v>
      </c>
      <c r="G61" s="6">
        <v>3</v>
      </c>
      <c r="H61" s="2"/>
      <c r="L61" s="3"/>
      <c r="M61" s="2" t="s">
        <v>181</v>
      </c>
      <c r="N61" s="1" t="s">
        <v>110</v>
      </c>
    </row>
    <row r="62" spans="1:14" s="1" customFormat="1" x14ac:dyDescent="0.25">
      <c r="A62" s="1">
        <v>4</v>
      </c>
      <c r="C62" s="1" t="s">
        <v>61</v>
      </c>
      <c r="D62" s="1" t="s">
        <v>43</v>
      </c>
      <c r="G62" s="6"/>
      <c r="H62" s="2"/>
      <c r="L62" s="3"/>
      <c r="M62" s="2"/>
    </row>
    <row r="63" spans="1:14" s="1" customFormat="1" x14ac:dyDescent="0.25">
      <c r="A63" s="1">
        <v>5</v>
      </c>
      <c r="B63" s="1" t="s">
        <v>192</v>
      </c>
      <c r="C63" s="1" t="s">
        <v>193</v>
      </c>
      <c r="D63" s="1" t="s">
        <v>133</v>
      </c>
      <c r="G63" s="6"/>
      <c r="H63" s="2"/>
      <c r="L63" s="3"/>
      <c r="M63" s="2" t="s">
        <v>196</v>
      </c>
    </row>
    <row r="64" spans="1:14" s="1" customFormat="1" x14ac:dyDescent="0.25">
      <c r="A64" s="1">
        <v>5</v>
      </c>
      <c r="B64" s="1" t="s">
        <v>194</v>
      </c>
      <c r="C64" s="1" t="s">
        <v>195</v>
      </c>
      <c r="D64" s="1" t="s">
        <v>65</v>
      </c>
      <c r="G64" s="6"/>
      <c r="H64" s="2"/>
      <c r="L64" s="3"/>
    </row>
    <row r="65" spans="1:14" s="1" customFormat="1" x14ac:dyDescent="0.25">
      <c r="A65" s="1">
        <v>5</v>
      </c>
      <c r="B65" s="1" t="s">
        <v>9</v>
      </c>
      <c r="C65" s="1" t="s">
        <v>10</v>
      </c>
      <c r="D65" s="1" t="s">
        <v>0</v>
      </c>
      <c r="F65" s="1" t="s">
        <v>58</v>
      </c>
      <c r="G65" s="6">
        <v>3</v>
      </c>
      <c r="H65" s="2"/>
      <c r="L65" s="3"/>
      <c r="M65" s="2" t="s">
        <v>196</v>
      </c>
      <c r="N65" s="1" t="s">
        <v>111</v>
      </c>
    </row>
    <row r="66" spans="1:14" s="1" customFormat="1" x14ac:dyDescent="0.25">
      <c r="A66" s="1">
        <v>3</v>
      </c>
      <c r="B66" s="1" t="s">
        <v>12</v>
      </c>
      <c r="C66" s="1" t="s">
        <v>151</v>
      </c>
      <c r="D66" s="1" t="s">
        <v>33</v>
      </c>
      <c r="G66" s="6"/>
      <c r="H66" s="2"/>
      <c r="L66" s="3"/>
      <c r="M66" s="2" t="s">
        <v>54</v>
      </c>
    </row>
    <row r="67" spans="1:14" s="1" customFormat="1" x14ac:dyDescent="0.25">
      <c r="A67" s="1">
        <v>4</v>
      </c>
      <c r="C67" s="1" t="s">
        <v>62</v>
      </c>
      <c r="D67" s="1" t="s">
        <v>43</v>
      </c>
      <c r="G67" s="6"/>
      <c r="H67" s="2"/>
      <c r="L67" s="3"/>
      <c r="M67" s="2"/>
    </row>
    <row r="68" spans="1:14" s="1" customFormat="1" x14ac:dyDescent="0.25">
      <c r="A68" s="1">
        <v>5</v>
      </c>
      <c r="B68" s="1" t="s">
        <v>153</v>
      </c>
      <c r="C68" s="1" t="s">
        <v>156</v>
      </c>
      <c r="D68" s="1" t="s">
        <v>65</v>
      </c>
      <c r="G68" s="6"/>
      <c r="H68" s="2"/>
      <c r="L68" s="3"/>
      <c r="M68" s="2" t="s">
        <v>182</v>
      </c>
    </row>
    <row r="69" spans="1:14" s="1" customFormat="1" x14ac:dyDescent="0.25">
      <c r="A69" s="1">
        <v>5</v>
      </c>
      <c r="B69" s="1" t="s">
        <v>152</v>
      </c>
      <c r="C69" s="1" t="s">
        <v>13</v>
      </c>
      <c r="D69" s="1" t="s">
        <v>0</v>
      </c>
      <c r="F69" s="1" t="s">
        <v>14</v>
      </c>
      <c r="G69" s="6">
        <v>3</v>
      </c>
      <c r="H69" s="2"/>
      <c r="L69" s="3"/>
      <c r="M69" s="2" t="s">
        <v>183</v>
      </c>
      <c r="N69" s="1" t="s">
        <v>112</v>
      </c>
    </row>
    <row r="70" spans="1:14" s="1" customFormat="1" x14ac:dyDescent="0.25">
      <c r="A70" s="1">
        <v>4</v>
      </c>
      <c r="C70" s="1" t="s">
        <v>154</v>
      </c>
      <c r="D70" s="1" t="s">
        <v>43</v>
      </c>
      <c r="G70" s="6"/>
      <c r="H70" s="2"/>
      <c r="L70" s="3"/>
      <c r="M70" s="2"/>
    </row>
    <row r="71" spans="1:14" s="1" customFormat="1" x14ac:dyDescent="0.25">
      <c r="A71" s="1">
        <v>5</v>
      </c>
      <c r="B71" s="1" t="s">
        <v>157</v>
      </c>
      <c r="C71" s="1" t="s">
        <v>158</v>
      </c>
      <c r="D71" s="1" t="s">
        <v>65</v>
      </c>
      <c r="G71" s="6"/>
      <c r="H71" s="2"/>
      <c r="L71" s="3"/>
      <c r="M71" s="2" t="s">
        <v>184</v>
      </c>
    </row>
    <row r="72" spans="1:14" s="1" customFormat="1" x14ac:dyDescent="0.25">
      <c r="A72" s="1">
        <v>5</v>
      </c>
      <c r="B72" s="1" t="s">
        <v>155</v>
      </c>
      <c r="C72" s="1" t="s">
        <v>15</v>
      </c>
      <c r="D72" s="1" t="s">
        <v>0</v>
      </c>
      <c r="F72" s="1" t="s">
        <v>14</v>
      </c>
      <c r="G72" s="6">
        <v>3</v>
      </c>
      <c r="H72" s="2"/>
      <c r="L72" s="3"/>
      <c r="M72" s="2" t="s">
        <v>185</v>
      </c>
    </row>
  </sheetData>
  <phoneticPr fontId="0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75" x14ac:dyDescent="0.25"/>
  <sheetData>
    <row r="1" spans="1:1" x14ac:dyDescent="0.25">
      <c r="A1">
        <f>(2.081+(0.5846*1.8^3))-(0.01599*19)*1.8</f>
        <v>4.9435292000000004</v>
      </c>
    </row>
  </sheetData>
  <phoneticPr fontId="0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2012-11-28T09:46:33Z</dcterms:created>
  <dcterms:modified xsi:type="dcterms:W3CDTF">2014-07-15T11:02:26Z</dcterms:modified>
</cp:coreProperties>
</file>