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0" yWindow="0" windowWidth="25600" windowHeight="16060" tabRatio="500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<sst xmlns="http://schemas.openxmlformats.org/spreadsheetml/2006/main" count="261" uniqueCount="144">
  <si>
    <t>number</t>
  </si>
  <si>
    <t>l</t>
  </si>
  <si>
    <t>Pre-bronchodilator FVC</t>
  </si>
  <si>
    <t>Post-bronchodilator FVC</t>
  </si>
  <si>
    <t>Best peak-expiratory flow</t>
  </si>
  <si>
    <t>Residual volume</t>
  </si>
  <si>
    <t>residual_volume</t>
  </si>
  <si>
    <t>%</t>
  </si>
  <si>
    <t>Total lung capacity</t>
  </si>
  <si>
    <t>total_lung_capacity</t>
  </si>
  <si>
    <t>KCO</t>
  </si>
  <si>
    <t>kco</t>
  </si>
  <si>
    <t>pc20_methacholine_histamine</t>
  </si>
  <si>
    <t>Exhaled NO</t>
  </si>
  <si>
    <t>exhaled_no</t>
  </si>
  <si>
    <t>50 ml s &lt;sup&gt;-1&lt;/sup&gt;</t>
  </si>
  <si>
    <t>Highest exhaled NO</t>
  </si>
  <si>
    <t>highest_exhaled_no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</si>
  <si>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</si>
  <si>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</si>
  <si>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</si>
  <si>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</si>
  <si>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</si>
  <si>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</si>
  <si>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</si>
  <si>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</si>
  <si>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</si>
  <si>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</si>
  <si>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</si>
  <si>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</si>
  <si>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</si>
  <si>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pre_bronch_fev1</t>
  </si>
  <si>
    <t>post_bronch_fev1</t>
  </si>
  <si>
    <t>pre_bronch_fvc</t>
  </si>
  <si>
    <t>post_bronch_fvc</t>
  </si>
  <si>
    <t>fieldset</t>
  </si>
  <si>
    <t>Other measurements</t>
  </si>
  <si>
    <t>other_fset</t>
  </si>
  <si>
    <t>fset1</t>
  </si>
  <si>
    <t>fset2</t>
  </si>
  <si>
    <t>fset3</t>
  </si>
  <si>
    <t>FVC</t>
  </si>
  <si>
    <t>% predicted FVC</t>
  </si>
  <si>
    <t>fset4</t>
  </si>
  <si>
    <t>hc1</t>
  </si>
  <si>
    <t>horiz_container</t>
  </si>
  <si>
    <t>hc2</t>
  </si>
  <si>
    <t>hc3</t>
  </si>
  <si>
    <t>hc4</t>
  </si>
  <si>
    <t>fset5</t>
  </si>
  <si>
    <t>hc5</t>
  </si>
  <si>
    <t>% predicted best</t>
  </si>
  <si>
    <t>Value</t>
  </si>
  <si>
    <t>hc0</t>
  </si>
  <si>
    <t>hc6</t>
  </si>
  <si>
    <t>Y</t>
  </si>
  <si>
    <t>compress=1</t>
  </si>
  <si>
    <t>hc7</t>
  </si>
  <si>
    <t>hc8</t>
  </si>
  <si>
    <t>hc9</t>
  </si>
  <si>
    <t>% predicted</t>
  </si>
  <si>
    <t>fset6</t>
  </si>
  <si>
    <t>fset7</t>
  </si>
  <si>
    <t>hc10</t>
  </si>
  <si>
    <t>hc11</t>
  </si>
  <si>
    <t>40%</t>
  </si>
  <si>
    <t>Concepts</t>
  </si>
  <si>
    <t>PC&lt;sub&gt;20&lt;/sub&gt; methacholine/histamine</t>
  </si>
  <si>
    <t>date</t>
  </si>
  <si>
    <t>pc20_fset</t>
  </si>
  <si>
    <t>pc20_hc</t>
  </si>
  <si>
    <t>expression</t>
  </si>
  <si>
    <t>lung_pred_fev1</t>
  </si>
  <si>
    <t>lung_pred_fvc</t>
  </si>
  <si>
    <t>lung_pred_fev1_fvc_ratio</t>
  </si>
  <si>
    <t>pre_bronch_fev1_fvc</t>
  </si>
  <si>
    <t>post_bronch_fev1_fvc</t>
  </si>
  <si>
    <t>expression=(get('pre_bronch_fev1')/get('pre_bronch_fvc')*100).toFixed(2)
expression_fail_value=-</t>
  </si>
  <si>
    <t>expression=(get('post_bronch_fev1')/get('post_bronch_fvc')*100).toFixed(2)
expression_fail_value=-</t>
  </si>
  <si>
    <t>4</t>
  </si>
  <si>
    <t>Predicted Values</t>
  </si>
  <si>
    <t>PEF</t>
  </si>
  <si>
    <t>lung_pred_pef</t>
  </si>
  <si>
    <t>hc_pred</t>
  </si>
  <si>
    <t>fset_pred</t>
  </si>
  <si>
    <t>Tabs</t>
  </si>
  <si>
    <t>tab_container</t>
  </si>
  <si>
    <t>tc</t>
  </si>
  <si>
    <t>spirometry_tab</t>
  </si>
  <si>
    <t>tab</t>
  </si>
  <si>
    <t>Spirometry</t>
  </si>
  <si>
    <t>other_tab</t>
  </si>
  <si>
    <t>spirometry_date</t>
  </si>
  <si>
    <t>other_measure_date</t>
  </si>
  <si>
    <t>l min&lt;sup&gt;-1&lt;/sup&gt;</t>
  </si>
  <si>
    <t>l min &lt;sup&gt;-1&lt;/sup&gt;</t>
  </si>
  <si>
    <t>Date of spirometry tests</t>
  </si>
  <si>
    <t>Date of other tests</t>
  </si>
  <si>
    <t>pc_pred_pre_bronch_fev1</t>
  </si>
  <si>
    <t>pc_pred_post_bronch_fev1</t>
  </si>
  <si>
    <t>pc_pred_pre_bronch_fvc</t>
  </si>
  <si>
    <t>pc_pred_post_bronch_fvc</t>
  </si>
  <si>
    <t>pc_pred_post_bronch_fev1_fvc</t>
  </si>
  <si>
    <t>best_pef</t>
  </si>
  <si>
    <t>pc_pred_best_pef</t>
  </si>
  <si>
    <t>calculate=pc_pred_pre_bronch_fev1;pre_bronch_fev1_fvc;pc_pred_pre_bronch_fev1_fvc</t>
  </si>
  <si>
    <t>expression=(get('pre_bronch_fev1')/get('pred_fev1')*100).toFixed(1),expression_fail_value=NULL</t>
  </si>
  <si>
    <t>expression=(get('post_bronch_fev1')/get('pred_fev1')*100).toFixed(1),expression_fail_value=NULL</t>
  </si>
  <si>
    <t>expression=(get('pre_bronch_fvc')/get('pred_fvc')*100).toFixed(1),expression_fail_value=NULL</t>
  </si>
  <si>
    <t>expression=(get('post_bronch_fvc')/get('pred_fvc')*100).toFixed(1),expression_fail_value=NULL</t>
  </si>
  <si>
    <t>expression=(get('pre_bronch_fev1_fvc')/get('pred_fev1_fvc')*100).toFixed(1),expression_fail_value=NULL</t>
  </si>
  <si>
    <t>expression=(get('post_bronch_fev1_fvc')/get('pred_fev1_fvc')*100).toFixed(1),expression_fail_value=NULL</t>
  </si>
  <si>
    <t>expression=(get('best_pef')/get('pred_pef')*100).toFixed(1),expression_fail_value=NULL</t>
  </si>
  <si>
    <t>calculate=pc_pred_best_pef</t>
  </si>
  <si>
    <t>calculate=pc_pred_post_bronch_fev1;post_bronch_fev1_fvc;pc_pred_post_bronch_fev1_fvc</t>
  </si>
  <si>
    <t>calculate=pc_pred_post_bronch_fvc;post_bronch_fev1_fvc;pc_pred_post_bronch_fev1_fvc</t>
  </si>
  <si>
    <t>pred_fvc</t>
  </si>
  <si>
    <t>pred_fev1</t>
  </si>
  <si>
    <t>pred_fev1_fvc</t>
  </si>
  <si>
    <t>pred_pef</t>
  </si>
  <si>
    <t>pc_pred_pre_bronch_fev1_fvc</t>
  </si>
  <si>
    <t>calculate=pc_pred_pre_bronch_fvc;pre_bronch_fev1_fvc;pc_pred_pre_bronch_fev1_fvc</t>
  </si>
  <si>
    <t>snomed:401012008</t>
  </si>
  <si>
    <t>snomed:401013003</t>
  </si>
  <si>
    <t>snomed:441857000</t>
  </si>
  <si>
    <t>snomed:407561008</t>
  </si>
  <si>
    <t>snomed:407602006</t>
  </si>
  <si>
    <t>snomed:407603001</t>
  </si>
  <si>
    <t>snomed:401163005</t>
  </si>
  <si>
    <t>snomed:252520007</t>
  </si>
  <si>
    <t>snomed:42457008</t>
  </si>
  <si>
    <t>snomed:57566009</t>
  </si>
  <si>
    <t>snomed:251952002</t>
  </si>
  <si>
    <t>snomed:444642008</t>
  </si>
  <si>
    <t>snomed:251936000</t>
  </si>
  <si>
    <t>FEV&lt;sub&gt;1&lt;/sub&gt;</t>
  </si>
  <si>
    <t>FEV&lt;sub&gt;1&lt;/sub&gt;/FVC</t>
  </si>
  <si>
    <t>Pre-bronchodilator FEV&lt;sub&gt;1&lt;/sub&gt;</t>
  </si>
  <si>
    <t>% predicted FEV&lt;sub&gt;1&lt;/sub&gt;</t>
  </si>
  <si>
    <t>Post-bronchodilator FEV&lt;sub&gt;1&lt;/sub&gt;</t>
  </si>
  <si>
    <t>Pre-bronchodilator FEV&lt;sub&gt;1&lt;/sub&gt;/FVC</t>
  </si>
  <si>
    <t>% predicted FEV&lt;sub&gt;1&lt;/sub&gt;/FVC</t>
  </si>
  <si>
    <t>Post-bronchodilator FEV&lt;sub&gt;1&lt;/sub&gt;/FVC</t>
  </si>
  <si>
    <t>% predicted FEV&lt;sub&gt;1&lt;/sub&gt;/ FVC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</si>
</sst>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0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>
      <selection activeCell="L3" sqref="L3"/>
    </sheetView>
  </sheetViews>
  <sheetFormatPr baseColWidth="10" defaultRowHeight="15" x14ac:dyDescent="0"/>
  <cols>
    <col min="2" max="2" width="32.33203125" customWidth="1"/>
    <col min="3" max="3" width="26.83203125" customWidth="1"/>
    <col min="7" max="7" width="10.83203125" style="7"/>
    <col min="8" max="8" width="7.5" customWidth="1"/>
    <col min="9" max="10" width="4" customWidth="1"/>
    <col min="11" max="11" width="37.5" customWidth="1"/>
    <col min="13" max="13" width="54.1640625" customWidth="1"/>
  </cols>
  <sheetData>
    <row r="1" spans="1:14" s="3" customFormat="1" ht="30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5" t="s">
        <v>24</v>
      </c>
      <c r="H1" s="4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66</v>
      </c>
    </row>
    <row r="2" spans="1:14" s="3" customFormat="1">
      <c r="A2" s="3">
        <v>1</v>
      </c>
      <c r="B2" s="3" t="s">
        <v>85</v>
      </c>
      <c r="C2" s="3" t="s">
        <v>87</v>
      </c>
      <c r="D2" s="3" t="s">
        <v>86</v>
      </c>
      <c r="G2" s="5"/>
      <c r="H2" s="4"/>
    </row>
    <row r="3" spans="1:14" s="3" customFormat="1">
      <c r="A3" s="3">
        <v>2</v>
      </c>
      <c r="B3" s="3" t="s">
        <v>90</v>
      </c>
      <c r="C3" s="3" t="s">
        <v>88</v>
      </c>
      <c r="D3" s="3" t="s">
        <v>89</v>
      </c>
      <c r="G3" s="5"/>
      <c r="H3" s="4"/>
    </row>
    <row r="4" spans="1:14" s="3" customFormat="1">
      <c r="A4" s="3">
        <v>3</v>
      </c>
      <c r="B4" s="3" t="s">
        <v>96</v>
      </c>
      <c r="C4" s="3" t="s">
        <v>92</v>
      </c>
      <c r="D4" s="3" t="s">
        <v>68</v>
      </c>
      <c r="G4" s="5"/>
      <c r="H4" s="4"/>
      <c r="L4" s="3" t="s">
        <v>55</v>
      </c>
    </row>
    <row r="5" spans="1:14" s="3" customFormat="1">
      <c r="A5" s="3">
        <v>3</v>
      </c>
      <c r="B5" s="3" t="s">
        <v>80</v>
      </c>
      <c r="C5" s="3" t="s">
        <v>84</v>
      </c>
      <c r="D5" s="3" t="s">
        <v>35</v>
      </c>
      <c r="G5" s="5" t="s">
        <v>65</v>
      </c>
      <c r="H5" s="4"/>
      <c r="M5" s="3" t="s">
        <v>56</v>
      </c>
    </row>
    <row r="6" spans="1:14" s="3" customFormat="1">
      <c r="A6" s="3">
        <v>4</v>
      </c>
      <c r="C6" s="3" t="s">
        <v>83</v>
      </c>
      <c r="D6" s="3" t="s">
        <v>45</v>
      </c>
      <c r="G6" s="5"/>
      <c r="H6" s="4"/>
    </row>
    <row r="7" spans="1:14" s="1" customFormat="1">
      <c r="A7" s="1">
        <v>5</v>
      </c>
      <c r="B7" s="1" t="s">
        <v>135</v>
      </c>
      <c r="C7" s="1" t="s">
        <v>117</v>
      </c>
      <c r="D7" s="1" t="s">
        <v>72</v>
      </c>
      <c r="F7" s="1" t="s">
        <v>1</v>
      </c>
      <c r="G7" s="6" t="s">
        <v>79</v>
      </c>
      <c r="H7" s="2"/>
      <c r="L7" s="3"/>
      <c r="M7" s="2"/>
    </row>
    <row r="8" spans="1:14" s="1" customFormat="1">
      <c r="A8" s="1">
        <v>5</v>
      </c>
      <c r="B8" s="1" t="s">
        <v>41</v>
      </c>
      <c r="C8" s="1" t="s">
        <v>116</v>
      </c>
      <c r="D8" s="1" t="s">
        <v>73</v>
      </c>
      <c r="F8" s="1" t="s">
        <v>1</v>
      </c>
      <c r="G8" s="6" t="s">
        <v>79</v>
      </c>
      <c r="H8" s="2"/>
      <c r="L8" s="3"/>
      <c r="M8" s="2"/>
    </row>
    <row r="9" spans="1:14" s="1" customFormat="1">
      <c r="A9" s="1">
        <v>5</v>
      </c>
      <c r="B9" s="1" t="s">
        <v>136</v>
      </c>
      <c r="C9" s="1" t="s">
        <v>118</v>
      </c>
      <c r="D9" s="1" t="s">
        <v>74</v>
      </c>
      <c r="F9" s="1" t="s">
        <v>1</v>
      </c>
      <c r="G9" s="6" t="s">
        <v>79</v>
      </c>
      <c r="H9" s="2"/>
      <c r="L9" s="3"/>
      <c r="M9" s="2"/>
    </row>
    <row r="10" spans="1:14" s="1" customFormat="1">
      <c r="A10" s="1">
        <v>5</v>
      </c>
      <c r="B10" s="1" t="s">
        <v>81</v>
      </c>
      <c r="C10" s="1" t="s">
        <v>119</v>
      </c>
      <c r="D10" s="1" t="s">
        <v>82</v>
      </c>
      <c r="F10" s="1" t="s">
        <v>95</v>
      </c>
      <c r="G10" s="6" t="s">
        <v>79</v>
      </c>
      <c r="H10" s="2"/>
      <c r="L10" s="3"/>
      <c r="M10" s="2"/>
    </row>
    <row r="11" spans="1:14" s="3" customFormat="1">
      <c r="A11" s="3">
        <v>3</v>
      </c>
      <c r="C11" s="3" t="s">
        <v>53</v>
      </c>
      <c r="D11" s="3" t="s">
        <v>45</v>
      </c>
      <c r="G11" s="5"/>
      <c r="H11" s="4"/>
    </row>
    <row r="12" spans="1:14" s="3" customFormat="1">
      <c r="A12" s="3">
        <v>4</v>
      </c>
      <c r="B12" s="3" t="s">
        <v>137</v>
      </c>
      <c r="C12" s="3" t="s">
        <v>38</v>
      </c>
      <c r="D12" s="3" t="s">
        <v>35</v>
      </c>
      <c r="G12" s="5" t="s">
        <v>65</v>
      </c>
      <c r="H12" s="4"/>
      <c r="M12" s="3" t="s">
        <v>56</v>
      </c>
    </row>
    <row r="13" spans="1:14" s="1" customFormat="1">
      <c r="A13" s="1">
        <v>5</v>
      </c>
      <c r="C13" s="1" t="s">
        <v>44</v>
      </c>
      <c r="D13" s="1" t="s">
        <v>45</v>
      </c>
      <c r="G13" s="6"/>
      <c r="H13" s="2"/>
      <c r="L13" s="3"/>
    </row>
    <row r="14" spans="1:14" s="1" customFormat="1">
      <c r="A14" s="1">
        <v>6</v>
      </c>
      <c r="B14" s="1" t="s">
        <v>135</v>
      </c>
      <c r="C14" s="1" t="s">
        <v>31</v>
      </c>
      <c r="D14" s="1" t="s">
        <v>0</v>
      </c>
      <c r="F14" s="1" t="s">
        <v>1</v>
      </c>
      <c r="G14" s="6" t="s">
        <v>79</v>
      </c>
      <c r="H14" s="2"/>
      <c r="L14" s="3" t="s">
        <v>55</v>
      </c>
      <c r="M14" s="1" t="s">
        <v>105</v>
      </c>
      <c r="N14" s="1" t="s">
        <v>122</v>
      </c>
    </row>
    <row r="15" spans="1:14" s="1" customFormat="1">
      <c r="A15" s="1">
        <v>6</v>
      </c>
      <c r="B15" s="1" t="s">
        <v>138</v>
      </c>
      <c r="C15" s="1" t="s">
        <v>98</v>
      </c>
      <c r="D15" s="1" t="s">
        <v>71</v>
      </c>
      <c r="F15" s="1" t="s">
        <v>7</v>
      </c>
      <c r="G15" s="6" t="s">
        <v>79</v>
      </c>
      <c r="H15" s="2"/>
      <c r="L15" s="3"/>
      <c r="M15" s="1" t="s">
        <v>106</v>
      </c>
    </row>
    <row r="16" spans="1:14" s="1" customFormat="1">
      <c r="A16" s="1">
        <v>4</v>
      </c>
      <c r="B16" s="1" t="s">
        <v>139</v>
      </c>
      <c r="C16" s="1" t="s">
        <v>39</v>
      </c>
      <c r="D16" s="1" t="s">
        <v>35</v>
      </c>
      <c r="G16" s="5" t="s">
        <v>65</v>
      </c>
      <c r="H16" s="2"/>
      <c r="L16" s="3" t="s">
        <v>55</v>
      </c>
      <c r="M16" s="3" t="s">
        <v>56</v>
      </c>
    </row>
    <row r="17" spans="1:14" s="1" customFormat="1">
      <c r="A17" s="1">
        <v>5</v>
      </c>
      <c r="C17" s="1" t="s">
        <v>46</v>
      </c>
      <c r="D17" s="1" t="s">
        <v>45</v>
      </c>
      <c r="G17" s="6"/>
      <c r="H17" s="2"/>
      <c r="L17" s="3"/>
    </row>
    <row r="18" spans="1:14" s="1" customFormat="1">
      <c r="A18" s="1">
        <v>6</v>
      </c>
      <c r="B18" s="1" t="s">
        <v>135</v>
      </c>
      <c r="C18" s="1" t="s">
        <v>32</v>
      </c>
      <c r="D18" s="1" t="s">
        <v>0</v>
      </c>
      <c r="F18" s="1" t="s">
        <v>1</v>
      </c>
      <c r="G18" s="6" t="s">
        <v>79</v>
      </c>
      <c r="H18" s="2"/>
      <c r="L18" s="3" t="s">
        <v>55</v>
      </c>
      <c r="M18" s="1" t="s">
        <v>114</v>
      </c>
      <c r="N18" s="1" t="s">
        <v>123</v>
      </c>
    </row>
    <row r="19" spans="1:14" s="1" customFormat="1">
      <c r="A19" s="1">
        <v>6</v>
      </c>
      <c r="B19" s="1" t="s">
        <v>138</v>
      </c>
      <c r="C19" s="1" t="s">
        <v>99</v>
      </c>
      <c r="D19" s="1" t="s">
        <v>71</v>
      </c>
      <c r="F19" s="1" t="s">
        <v>7</v>
      </c>
      <c r="G19" s="6" t="s">
        <v>79</v>
      </c>
      <c r="H19" s="2"/>
      <c r="L19" s="3"/>
      <c r="M19" s="9" t="s">
        <v>107</v>
      </c>
    </row>
    <row r="20" spans="1:14" s="1" customFormat="1">
      <c r="A20" s="1">
        <v>3</v>
      </c>
      <c r="C20" s="1" t="s">
        <v>47</v>
      </c>
      <c r="D20" s="1" t="s">
        <v>45</v>
      </c>
      <c r="G20" s="6"/>
      <c r="H20" s="2"/>
      <c r="L20" s="3"/>
    </row>
    <row r="21" spans="1:14" s="1" customFormat="1">
      <c r="A21" s="1">
        <v>4</v>
      </c>
      <c r="B21" s="1" t="s">
        <v>2</v>
      </c>
      <c r="C21" s="1" t="s">
        <v>40</v>
      </c>
      <c r="D21" s="1" t="s">
        <v>35</v>
      </c>
      <c r="G21" s="5" t="s">
        <v>65</v>
      </c>
      <c r="H21" s="2"/>
      <c r="L21" s="3" t="s">
        <v>55</v>
      </c>
      <c r="M21" s="3" t="s">
        <v>56</v>
      </c>
    </row>
    <row r="22" spans="1:14" s="1" customFormat="1">
      <c r="A22" s="1">
        <v>5</v>
      </c>
      <c r="C22" s="1" t="s">
        <v>48</v>
      </c>
      <c r="D22" s="1" t="s">
        <v>45</v>
      </c>
      <c r="G22" s="6"/>
      <c r="H22" s="2"/>
      <c r="L22" s="3"/>
    </row>
    <row r="23" spans="1:14" s="1" customFormat="1">
      <c r="A23" s="1">
        <v>6</v>
      </c>
      <c r="B23" s="1" t="s">
        <v>41</v>
      </c>
      <c r="C23" s="1" t="s">
        <v>33</v>
      </c>
      <c r="D23" s="1" t="s">
        <v>0</v>
      </c>
      <c r="F23" s="1" t="s">
        <v>1</v>
      </c>
      <c r="G23" s="6" t="s">
        <v>79</v>
      </c>
      <c r="H23" s="2"/>
      <c r="L23" s="3" t="s">
        <v>55</v>
      </c>
      <c r="M23" s="1" t="s">
        <v>121</v>
      </c>
      <c r="N23" s="1" t="s">
        <v>124</v>
      </c>
    </row>
    <row r="24" spans="1:14" s="1" customFormat="1">
      <c r="A24" s="1">
        <v>6</v>
      </c>
      <c r="B24" s="1" t="s">
        <v>42</v>
      </c>
      <c r="C24" s="1" t="s">
        <v>100</v>
      </c>
      <c r="D24" s="1" t="s">
        <v>71</v>
      </c>
      <c r="F24" s="1" t="s">
        <v>7</v>
      </c>
      <c r="G24" s="6" t="s">
        <v>79</v>
      </c>
      <c r="H24" s="2"/>
      <c r="L24" s="3"/>
      <c r="M24" s="1" t="s">
        <v>108</v>
      </c>
    </row>
    <row r="25" spans="1:14" s="1" customFormat="1">
      <c r="A25" s="1">
        <v>4</v>
      </c>
      <c r="B25" s="1" t="s">
        <v>3</v>
      </c>
      <c r="C25" s="1" t="s">
        <v>43</v>
      </c>
      <c r="D25" s="1" t="s">
        <v>35</v>
      </c>
      <c r="G25" s="5" t="s">
        <v>65</v>
      </c>
      <c r="H25" s="2"/>
      <c r="L25" s="3" t="s">
        <v>55</v>
      </c>
      <c r="M25" s="3" t="s">
        <v>56</v>
      </c>
    </row>
    <row r="26" spans="1:14" s="1" customFormat="1">
      <c r="A26" s="1">
        <v>5</v>
      </c>
      <c r="C26" s="1" t="s">
        <v>50</v>
      </c>
      <c r="D26" s="1" t="s">
        <v>45</v>
      </c>
      <c r="G26" s="6"/>
      <c r="H26" s="2"/>
      <c r="L26" s="3"/>
    </row>
    <row r="27" spans="1:14" s="1" customFormat="1">
      <c r="A27" s="1">
        <v>6</v>
      </c>
      <c r="B27" s="1" t="s">
        <v>41</v>
      </c>
      <c r="C27" s="1" t="s">
        <v>34</v>
      </c>
      <c r="D27" s="1" t="s">
        <v>0</v>
      </c>
      <c r="F27" s="1" t="s">
        <v>1</v>
      </c>
      <c r="G27" s="6" t="s">
        <v>79</v>
      </c>
      <c r="H27" s="2"/>
      <c r="L27" s="3" t="s">
        <v>55</v>
      </c>
      <c r="M27" s="1" t="s">
        <v>115</v>
      </c>
      <c r="N27" s="1" t="s">
        <v>125</v>
      </c>
    </row>
    <row r="28" spans="1:14" s="1" customFormat="1">
      <c r="A28" s="1">
        <v>6</v>
      </c>
      <c r="B28" s="1" t="s">
        <v>42</v>
      </c>
      <c r="C28" s="1" t="s">
        <v>101</v>
      </c>
      <c r="D28" s="1" t="s">
        <v>71</v>
      </c>
      <c r="F28" s="1" t="s">
        <v>7</v>
      </c>
      <c r="G28" s="6" t="s">
        <v>79</v>
      </c>
      <c r="H28" s="2"/>
      <c r="L28" s="3"/>
      <c r="M28" s="1" t="s">
        <v>109</v>
      </c>
    </row>
    <row r="29" spans="1:14" s="1" customFormat="1">
      <c r="A29" s="1">
        <v>4</v>
      </c>
      <c r="B29" s="1" t="s">
        <v>140</v>
      </c>
      <c r="C29" s="1" t="s">
        <v>49</v>
      </c>
      <c r="D29" s="1" t="s">
        <v>35</v>
      </c>
      <c r="G29" s="5" t="s">
        <v>65</v>
      </c>
      <c r="H29" s="2"/>
      <c r="L29" s="3" t="s">
        <v>55</v>
      </c>
      <c r="M29" s="3" t="s">
        <v>56</v>
      </c>
    </row>
    <row r="30" spans="1:14" s="1" customFormat="1">
      <c r="A30" s="1">
        <v>5</v>
      </c>
      <c r="C30" s="1" t="s">
        <v>54</v>
      </c>
      <c r="D30" s="1" t="s">
        <v>45</v>
      </c>
      <c r="G30" s="6"/>
      <c r="H30" s="2"/>
      <c r="L30" s="3"/>
    </row>
    <row r="31" spans="1:14" s="1" customFormat="1" ht="45">
      <c r="A31" s="1">
        <v>6</v>
      </c>
      <c r="B31" s="1" t="s">
        <v>136</v>
      </c>
      <c r="C31" s="1" t="s">
        <v>75</v>
      </c>
      <c r="D31" s="1" t="s">
        <v>71</v>
      </c>
      <c r="F31" s="1" t="s">
        <v>1</v>
      </c>
      <c r="G31" s="6" t="s">
        <v>79</v>
      </c>
      <c r="H31" s="2"/>
      <c r="L31" s="3" t="s">
        <v>55</v>
      </c>
      <c r="M31" s="2" t="s">
        <v>77</v>
      </c>
      <c r="N31" s="1" t="s">
        <v>126</v>
      </c>
    </row>
    <row r="32" spans="1:14" s="1" customFormat="1">
      <c r="A32" s="1">
        <v>6</v>
      </c>
      <c r="B32" s="1" t="s">
        <v>141</v>
      </c>
      <c r="C32" s="1" t="s">
        <v>120</v>
      </c>
      <c r="D32" s="1" t="s">
        <v>71</v>
      </c>
      <c r="F32" s="1" t="s">
        <v>7</v>
      </c>
      <c r="G32" s="6" t="s">
        <v>79</v>
      </c>
      <c r="H32" s="2"/>
      <c r="L32" s="3"/>
      <c r="M32" s="1" t="s">
        <v>110</v>
      </c>
    </row>
    <row r="33" spans="1:14" s="1" customFormat="1">
      <c r="A33" s="1">
        <v>4</v>
      </c>
      <c r="B33" s="1" t="s">
        <v>142</v>
      </c>
      <c r="C33" s="1" t="s">
        <v>61</v>
      </c>
      <c r="D33" s="1" t="s">
        <v>35</v>
      </c>
      <c r="G33" s="5" t="s">
        <v>65</v>
      </c>
      <c r="H33" s="2"/>
      <c r="L33" s="3" t="s">
        <v>55</v>
      </c>
      <c r="M33" s="3" t="s">
        <v>56</v>
      </c>
    </row>
    <row r="34" spans="1:14" s="1" customFormat="1">
      <c r="A34" s="1">
        <v>5</v>
      </c>
      <c r="C34" s="1" t="s">
        <v>57</v>
      </c>
      <c r="D34" s="1" t="s">
        <v>45</v>
      </c>
      <c r="G34" s="6"/>
      <c r="H34" s="2"/>
      <c r="L34" s="3"/>
    </row>
    <row r="35" spans="1:14" s="1" customFormat="1" ht="45">
      <c r="A35" s="1">
        <v>6</v>
      </c>
      <c r="B35" s="1" t="s">
        <v>136</v>
      </c>
      <c r="C35" s="1" t="s">
        <v>76</v>
      </c>
      <c r="D35" s="1" t="s">
        <v>0</v>
      </c>
      <c r="F35" s="1" t="s">
        <v>1</v>
      </c>
      <c r="G35" s="6" t="s">
        <v>79</v>
      </c>
      <c r="H35" s="2"/>
      <c r="L35" s="3"/>
      <c r="M35" s="2" t="s">
        <v>78</v>
      </c>
      <c r="N35" s="1" t="s">
        <v>127</v>
      </c>
    </row>
    <row r="36" spans="1:14" s="1" customFormat="1">
      <c r="A36" s="1">
        <v>6</v>
      </c>
      <c r="B36" s="1" t="s">
        <v>143</v>
      </c>
      <c r="C36" s="1" t="s">
        <v>102</v>
      </c>
      <c r="D36" s="1" t="s">
        <v>0</v>
      </c>
      <c r="F36" s="1" t="s">
        <v>7</v>
      </c>
      <c r="G36" s="6"/>
      <c r="H36" s="2"/>
      <c r="L36" s="3"/>
      <c r="M36" s="1" t="s">
        <v>111</v>
      </c>
    </row>
    <row r="37" spans="1:14" s="1" customFormat="1">
      <c r="A37" s="1">
        <v>3</v>
      </c>
      <c r="B37" s="1" t="s">
        <v>4</v>
      </c>
      <c r="C37" s="1" t="s">
        <v>62</v>
      </c>
      <c r="D37" s="1" t="s">
        <v>35</v>
      </c>
      <c r="G37" s="6"/>
      <c r="H37" s="2"/>
      <c r="L37" s="3"/>
      <c r="M37" s="8" t="s">
        <v>56</v>
      </c>
    </row>
    <row r="38" spans="1:14" s="1" customFormat="1">
      <c r="A38" s="1">
        <v>4</v>
      </c>
      <c r="C38" s="1" t="s">
        <v>58</v>
      </c>
      <c r="D38" s="1" t="s">
        <v>45</v>
      </c>
      <c r="G38" s="6"/>
      <c r="H38" s="2"/>
      <c r="L38" s="3"/>
    </row>
    <row r="39" spans="1:14" s="1" customFormat="1">
      <c r="A39" s="1">
        <v>5</v>
      </c>
      <c r="B39" s="1" t="s">
        <v>52</v>
      </c>
      <c r="C39" s="1" t="s">
        <v>103</v>
      </c>
      <c r="D39" s="1" t="s">
        <v>0</v>
      </c>
      <c r="F39" s="1" t="s">
        <v>94</v>
      </c>
      <c r="G39" s="6"/>
      <c r="H39" s="2"/>
      <c r="L39" s="3" t="s">
        <v>55</v>
      </c>
      <c r="M39" s="1" t="s">
        <v>113</v>
      </c>
      <c r="N39" s="1" t="s">
        <v>134</v>
      </c>
    </row>
    <row r="40" spans="1:14" s="1" customFormat="1">
      <c r="A40" s="1">
        <v>5</v>
      </c>
      <c r="B40" s="1" t="s">
        <v>51</v>
      </c>
      <c r="C40" s="1" t="s">
        <v>104</v>
      </c>
      <c r="D40" s="1" t="s">
        <v>0</v>
      </c>
      <c r="G40" s="6"/>
      <c r="H40" s="2"/>
      <c r="L40" s="3"/>
      <c r="M40" s="9" t="s">
        <v>112</v>
      </c>
      <c r="N40" s="1" t="s">
        <v>128</v>
      </c>
    </row>
    <row r="41" spans="1:14" s="1" customFormat="1">
      <c r="A41" s="1">
        <v>2</v>
      </c>
      <c r="B41" s="1" t="s">
        <v>36</v>
      </c>
      <c r="C41" s="1" t="s">
        <v>91</v>
      </c>
      <c r="D41" s="1" t="s">
        <v>89</v>
      </c>
      <c r="G41" s="6"/>
      <c r="H41" s="2"/>
      <c r="L41" s="3"/>
      <c r="M41" s="9"/>
    </row>
    <row r="42" spans="1:14" s="3" customFormat="1">
      <c r="A42" s="3">
        <v>3</v>
      </c>
      <c r="B42" s="3" t="s">
        <v>97</v>
      </c>
      <c r="C42" s="3" t="s">
        <v>93</v>
      </c>
      <c r="D42" s="3" t="s">
        <v>68</v>
      </c>
      <c r="G42" s="5"/>
      <c r="H42" s="4"/>
      <c r="L42" s="3" t="s">
        <v>55</v>
      </c>
    </row>
    <row r="43" spans="1:14" s="1" customFormat="1">
      <c r="A43" s="1">
        <v>3</v>
      </c>
      <c r="B43" s="1" t="s">
        <v>67</v>
      </c>
      <c r="C43" s="1" t="s">
        <v>69</v>
      </c>
      <c r="D43" s="1" t="s">
        <v>35</v>
      </c>
      <c r="G43" s="6" t="s">
        <v>65</v>
      </c>
      <c r="H43" s="2"/>
      <c r="L43" s="3"/>
      <c r="M43" s="1" t="s">
        <v>56</v>
      </c>
    </row>
    <row r="44" spans="1:14" s="1" customFormat="1">
      <c r="A44" s="1">
        <v>4</v>
      </c>
      <c r="C44" s="1" t="s">
        <v>70</v>
      </c>
      <c r="D44" s="1" t="s">
        <v>45</v>
      </c>
      <c r="G44" s="6"/>
      <c r="H44" s="2"/>
      <c r="L44" s="3"/>
    </row>
    <row r="45" spans="1:14" s="1" customFormat="1">
      <c r="A45" s="1">
        <v>5</v>
      </c>
      <c r="B45" s="1" t="s">
        <v>52</v>
      </c>
      <c r="C45" s="1" t="s">
        <v>12</v>
      </c>
      <c r="D45" s="1" t="s">
        <v>0</v>
      </c>
      <c r="G45" s="6" t="s">
        <v>79</v>
      </c>
      <c r="H45" s="2"/>
      <c r="L45" s="3" t="s">
        <v>55</v>
      </c>
      <c r="N45" s="1" t="s">
        <v>129</v>
      </c>
    </row>
    <row r="46" spans="1:14" s="1" customFormat="1">
      <c r="A46" s="1">
        <v>3</v>
      </c>
      <c r="B46" s="1" t="s">
        <v>36</v>
      </c>
      <c r="C46" s="1" t="s">
        <v>37</v>
      </c>
      <c r="D46" s="1" t="s">
        <v>35</v>
      </c>
      <c r="G46" s="6"/>
      <c r="H46" s="2"/>
      <c r="L46" s="3"/>
      <c r="M46" s="3" t="s">
        <v>56</v>
      </c>
    </row>
    <row r="47" spans="1:14" s="1" customFormat="1">
      <c r="A47" s="1">
        <v>4</v>
      </c>
      <c r="C47" s="1" t="s">
        <v>59</v>
      </c>
      <c r="D47" s="1" t="s">
        <v>45</v>
      </c>
      <c r="G47" s="6"/>
      <c r="H47" s="2"/>
      <c r="L47" s="3"/>
      <c r="M47" s="3"/>
    </row>
    <row r="48" spans="1:14" s="1" customFormat="1">
      <c r="A48" s="1">
        <v>5</v>
      </c>
      <c r="B48" s="1" t="s">
        <v>5</v>
      </c>
      <c r="C48" s="1" t="s">
        <v>6</v>
      </c>
      <c r="D48" s="1" t="s">
        <v>0</v>
      </c>
      <c r="F48" s="1" t="s">
        <v>60</v>
      </c>
      <c r="G48" s="6">
        <v>3</v>
      </c>
      <c r="H48" s="2"/>
      <c r="L48" s="3" t="s">
        <v>55</v>
      </c>
      <c r="N48" s="1" t="s">
        <v>130</v>
      </c>
    </row>
    <row r="49" spans="1:14" s="1" customFormat="1">
      <c r="A49" s="1">
        <v>5</v>
      </c>
      <c r="B49" s="1" t="s">
        <v>8</v>
      </c>
      <c r="C49" s="1" t="s">
        <v>9</v>
      </c>
      <c r="D49" s="1" t="s">
        <v>0</v>
      </c>
      <c r="F49" s="1" t="s">
        <v>60</v>
      </c>
      <c r="G49" s="6">
        <v>3</v>
      </c>
      <c r="H49" s="2"/>
      <c r="L49" s="3" t="s">
        <v>55</v>
      </c>
      <c r="N49" s="1" t="s">
        <v>131</v>
      </c>
    </row>
    <row r="50" spans="1:14" s="1" customFormat="1">
      <c r="A50" s="1">
        <v>4</v>
      </c>
      <c r="C50" s="1" t="s">
        <v>63</v>
      </c>
      <c r="D50" s="1" t="s">
        <v>45</v>
      </c>
      <c r="G50" s="6"/>
      <c r="H50" s="2"/>
      <c r="L50" s="3"/>
    </row>
    <row r="51" spans="1:14" s="1" customFormat="1">
      <c r="A51" s="1">
        <v>5</v>
      </c>
      <c r="B51" s="1" t="s">
        <v>10</v>
      </c>
      <c r="C51" s="1" t="s">
        <v>11</v>
      </c>
      <c r="D51" s="1" t="s">
        <v>0</v>
      </c>
      <c r="F51" s="1" t="s">
        <v>60</v>
      </c>
      <c r="G51" s="6">
        <v>3</v>
      </c>
      <c r="H51" s="2"/>
      <c r="L51" s="3" t="s">
        <v>55</v>
      </c>
      <c r="N51" s="1" t="s">
        <v>132</v>
      </c>
    </row>
    <row r="52" spans="1:14" s="1" customFormat="1">
      <c r="A52" s="1">
        <v>4</v>
      </c>
      <c r="C52" s="1" t="s">
        <v>64</v>
      </c>
      <c r="D52" s="1" t="s">
        <v>45</v>
      </c>
      <c r="G52" s="6"/>
      <c r="H52" s="2"/>
      <c r="L52" s="3"/>
    </row>
    <row r="53" spans="1:14" s="1" customFormat="1">
      <c r="A53" s="1">
        <v>5</v>
      </c>
      <c r="B53" s="1" t="s">
        <v>13</v>
      </c>
      <c r="C53" s="1" t="s">
        <v>14</v>
      </c>
      <c r="D53" s="1" t="s">
        <v>0</v>
      </c>
      <c r="F53" s="1" t="s">
        <v>15</v>
      </c>
      <c r="G53" s="6">
        <v>3</v>
      </c>
      <c r="H53" s="2"/>
      <c r="L53" s="3" t="s">
        <v>55</v>
      </c>
      <c r="N53" s="1" t="s">
        <v>133</v>
      </c>
    </row>
    <row r="54" spans="1:14" s="1" customFormat="1">
      <c r="A54" s="1">
        <v>5</v>
      </c>
      <c r="B54" s="1" t="s">
        <v>16</v>
      </c>
      <c r="C54" s="1" t="s">
        <v>17</v>
      </c>
      <c r="D54" s="1" t="s">
        <v>0</v>
      </c>
      <c r="F54" s="1" t="s">
        <v>15</v>
      </c>
      <c r="G54" s="6">
        <v>3</v>
      </c>
      <c r="H54" s="2"/>
      <c r="L54" s="3" t="s">
        <v>55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>
    <row r="1" spans="1:1">
      <c r="A1">
        <f>(2.081+(0.5846*1.8^3))-(0.01599*19)*1.8</f>
        <v>4.9435292000000004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2012-11-28T09:46:33Z</dcterms:created>
  <dcterms:modified xsi:type="dcterms:W3CDTF">2013-04-29T14:36:41Z</dcterms:modified>
</cp:coreProperties>
</file>